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Registration" sheetId="1" r:id="rId5"/>
    <sheet state="visible" name="4X4X4 PRIMERA" sheetId="2" r:id="rId6"/>
    <sheet state="visible" name="4X4X4 FINAL" sheetId="3" r:id="rId7"/>
    <sheet state="visible" name="2X2X2 PRIMERA" sheetId="4" r:id="rId8"/>
    <sheet state="visible" name="2X2X2 FINAL" sheetId="5" r:id="rId9"/>
    <sheet state="visible" name="3X3X3 NOVATOS" sheetId="6" r:id="rId10"/>
    <sheet state="visible" name="3X3X3 NOVATOS FINAL" sheetId="7" r:id="rId11"/>
    <sheet state="visible" name="3X3X3 SUB30" sheetId="8" r:id="rId12"/>
    <sheet state="visible" name="3X3X3 SUB30 FINAL" sheetId="9" r:id="rId13"/>
    <sheet state="visible" name="3X3X3 SUB20" sheetId="10" r:id="rId14"/>
    <sheet state="visible" name="3X3X3 SUB20 FINAL" sheetId="11" r:id="rId15"/>
    <sheet state="visible" name="3X3X3 SUB16 " sheetId="12" r:id="rId16"/>
    <sheet state="visible" name="3X3X3 SUB16 FINAL " sheetId="13" r:id="rId17"/>
    <sheet state="visible" name="3X3X3 SUB13" sheetId="14" r:id="rId18"/>
    <sheet state="visible" name="3X3X3 SUB13 FINAL " sheetId="15" r:id="rId19"/>
    <sheet state="visible" name="3X3X3 SUB10" sheetId="16" r:id="rId20"/>
    <sheet state="visible" name="3X3X3 SUB10 FINAL" sheetId="17" r:id="rId21"/>
    <sheet state="visible" name="SKEWB Primera" sheetId="18" r:id="rId22"/>
    <sheet state="visible" name="Skewb Final" sheetId="19" r:id="rId23"/>
    <sheet state="visible" name="PYRAMINX primera" sheetId="20" r:id="rId24"/>
    <sheet state="visible" name="Pyraminx - final" sheetId="21" r:id="rId25"/>
    <sheet state="visible" name="GANADORES" sheetId="22" r:id="rId26"/>
  </sheets>
  <definedNames>
    <definedName hidden="1" localSheetId="7" name="_xlnm._FilterDatabase">'3X3X3 SUB30'!$A$4:$O$44</definedName>
    <definedName hidden="1" localSheetId="8" name="_xlnm._FilterDatabase">'3X3X3 SUB30 FINAL'!$A$4:$O$44</definedName>
    <definedName hidden="1" localSheetId="9" name="_xlnm._FilterDatabase">'3X3X3 SUB20'!$A$4:$O$44</definedName>
    <definedName hidden="1" localSheetId="12" name="_xlnm._FilterDatabase">'3X3X3 SUB16 FINAL '!$A$4:$O$44</definedName>
    <definedName hidden="1" localSheetId="13" name="_xlnm._FilterDatabase">'3X3X3 SUB13'!$A$4:$O$44</definedName>
    <definedName hidden="1" localSheetId="19" name="_xlnm._FilterDatabase">'PYRAMINX primera'!$A$4:$O$43</definedName>
    <definedName hidden="1" localSheetId="20" name="_xlnm._FilterDatabase">'Pyraminx - final'!$A$4:$O$43</definedName>
  </definedNames>
  <calcPr/>
</workbook>
</file>

<file path=xl/sharedStrings.xml><?xml version="1.0" encoding="utf-8"?>
<sst xmlns="http://schemas.openxmlformats.org/spreadsheetml/2006/main" count="635" uniqueCount="184">
  <si>
    <t>[Competition]</t>
  </si>
  <si>
    <t>VERSION: APRIL 2014</t>
  </si>
  <si>
    <t>#</t>
  </si>
  <si>
    <t>Name</t>
  </si>
  <si>
    <t>Country</t>
  </si>
  <si>
    <t>WCA id</t>
  </si>
  <si>
    <t>Gender
(f/m)</t>
  </si>
  <si>
    <t>Date-of-birth</t>
  </si>
  <si>
    <t>2x2</t>
  </si>
  <si>
    <t>3x3</t>
  </si>
  <si>
    <t>4x4</t>
  </si>
  <si>
    <t>5x5</t>
  </si>
  <si>
    <t>6x6</t>
  </si>
  <si>
    <t>7x7</t>
  </si>
  <si>
    <t>fm</t>
  </si>
  <si>
    <t>oh</t>
  </si>
  <si>
    <t>bf</t>
  </si>
  <si>
    <t>bf4</t>
  </si>
  <si>
    <t>bf5</t>
  </si>
  <si>
    <t>feet</t>
  </si>
  <si>
    <t>clk</t>
  </si>
  <si>
    <t>skewb</t>
  </si>
  <si>
    <t>minx</t>
  </si>
  <si>
    <t>sq1</t>
  </si>
  <si>
    <t>pyr</t>
  </si>
  <si>
    <t>mbf</t>
  </si>
  <si>
    <t>FRANCIA PEREZ</t>
  </si>
  <si>
    <t>4X4X4 PRIMERA</t>
  </si>
  <si>
    <t>Format: average of 5 (removing best and worst)</t>
  </si>
  <si>
    <t>time in seconds (ss.hh)</t>
  </si>
  <si>
    <t>Position</t>
  </si>
  <si>
    <t>Best</t>
  </si>
  <si>
    <t>WR</t>
  </si>
  <si>
    <t>Worst</t>
  </si>
  <si>
    <t>Average</t>
  </si>
  <si>
    <t>Avg/min</t>
  </si>
  <si>
    <t>HECTOR MARTINEZ</t>
  </si>
  <si>
    <t>LORENZO GONZALEZ</t>
  </si>
  <si>
    <t>JUAN DAVID CARMONA</t>
  </si>
  <si>
    <t>KEVIN DIAZ</t>
  </si>
  <si>
    <t>DAVID BENITEZ</t>
  </si>
  <si>
    <t>MIGUEL ANGEL DIAZ</t>
  </si>
  <si>
    <t>DENNIS ROSERO</t>
  </si>
  <si>
    <t>JUAN DAVID HERNANDEZ</t>
  </si>
  <si>
    <t>VICTORIA ZAMBRANO</t>
  </si>
  <si>
    <t>SANTIAGO BOHORQUEZ</t>
  </si>
  <si>
    <t>ANDRES CAMILO MOLINA</t>
  </si>
  <si>
    <t>JUAN DIEGO TORO</t>
  </si>
  <si>
    <t>DIEGO HERNANDEZ MONDUL</t>
  </si>
  <si>
    <t>DNF</t>
  </si>
  <si>
    <t>RICARDO HURTADO</t>
  </si>
  <si>
    <t>JUAN DIEGO LEON</t>
  </si>
  <si>
    <t>THOMAS MUNEVAR</t>
  </si>
  <si>
    <t>SERGIO CORREDOR</t>
  </si>
  <si>
    <t>SAMUEL FELIPE VARGAS MUÑOZ</t>
  </si>
  <si>
    <t>FEDERICO PEÑA</t>
  </si>
  <si>
    <t>EMANUEL ORJUELA</t>
  </si>
  <si>
    <t>CHRISTIAN DAMIAN FERNANDEZ</t>
  </si>
  <si>
    <t>SANTIAGO VARGAS</t>
  </si>
  <si>
    <t>RICARDO PULIDO</t>
  </si>
  <si>
    <t>HENRY ALEJANDRO RAMIREZ</t>
  </si>
  <si>
    <t>NICOLAS LOZANO RIAÑO</t>
  </si>
  <si>
    <t>CRISTIAN GUEVARA</t>
  </si>
  <si>
    <t>ESTEBAN SABOGAL</t>
  </si>
  <si>
    <t>MATEO URQUIJO B</t>
  </si>
  <si>
    <t xml:space="preserve">DNF </t>
  </si>
  <si>
    <t>DNS</t>
  </si>
  <si>
    <t>4X4X4  FINAL</t>
  </si>
  <si>
    <t>[2X2X2] - [PRIMERA]</t>
  </si>
  <si>
    <t>JEFFERSON BLD</t>
  </si>
  <si>
    <t>SAMUEL FELIPE VARGAS</t>
  </si>
  <si>
    <t>JUN DAVID HERNNDEZ</t>
  </si>
  <si>
    <t>DIEGO HERNANDEZ</t>
  </si>
  <si>
    <t>JERONIMO LLAMAS</t>
  </si>
  <si>
    <t>DANIEL ARAQUE</t>
  </si>
  <si>
    <t>ANDRES MOLINA</t>
  </si>
  <si>
    <t>MIGUEL DIAZ</t>
  </si>
  <si>
    <t>CRISTHIAN FERNANDEZ</t>
  </si>
  <si>
    <t>SAHILY VRGAS</t>
  </si>
  <si>
    <t>JUAN DIEGO PORRAS</t>
  </si>
  <si>
    <t>MANASES CUERVO</t>
  </si>
  <si>
    <t>MIGUEL ANGEL ALMANZA</t>
  </si>
  <si>
    <t>MAXIMILIANO MONTENEGRO</t>
  </si>
  <si>
    <t>DANA SILVA</t>
  </si>
  <si>
    <t>CATALINA HERRERA</t>
  </si>
  <si>
    <t>JUAN DAVID TOLEDO</t>
  </si>
  <si>
    <t>SANTIAGO RODRIGUEZ</t>
  </si>
  <si>
    <t>OSCAR RAMOS</t>
  </si>
  <si>
    <t>NICOLAS LOZANO</t>
  </si>
  <si>
    <t>SAMUEL MATEUS</t>
  </si>
  <si>
    <t>ESTEBN DIAZ</t>
  </si>
  <si>
    <t>LUN BELTRAN</t>
  </si>
  <si>
    <t>JUAN FELIPE REYES</t>
  </si>
  <si>
    <t>NICOLAS RIVERA</t>
  </si>
  <si>
    <t>[2X2X2] - [FINAL]</t>
  </si>
  <si>
    <t>Hector Martinez</t>
  </si>
  <si>
    <t>Juan David Carmona</t>
  </si>
  <si>
    <t>Juan David Hernandez</t>
  </si>
  <si>
    <t>Victoria Zambrano</t>
  </si>
  <si>
    <t>David Benitez</t>
  </si>
  <si>
    <t>Kevin Vanegas</t>
  </si>
  <si>
    <t>Ricardo Hurtado</t>
  </si>
  <si>
    <t>Santiago Vargas</t>
  </si>
  <si>
    <t>Dennis Rosero</t>
  </si>
  <si>
    <t>Emanuel Orjuela</t>
  </si>
  <si>
    <t>Jefferson Durango</t>
  </si>
  <si>
    <t>Samuel Vargas</t>
  </si>
  <si>
    <t>[3x3x3] - [PRIMERA]</t>
  </si>
  <si>
    <t>ANDRES FELIPE SANDOVAL</t>
  </si>
  <si>
    <t>OSCAR ALEJANDRO RAMOS</t>
  </si>
  <si>
    <t>THOMAS MORENO</t>
  </si>
  <si>
    <t>JULIAN TOLEDO</t>
  </si>
  <si>
    <t>JOSUE ROMERO</t>
  </si>
  <si>
    <t>ELIISIO BELTRAN</t>
  </si>
  <si>
    <t>SAHILY VARGAS</t>
  </si>
  <si>
    <t>SAMUEL VELEZ GONZALEZ</t>
  </si>
  <si>
    <t>SEBASTIAN HERNANDEZ</t>
  </si>
  <si>
    <t>LUNA BELTRAN</t>
  </si>
  <si>
    <t>JUAN DAVID MELO</t>
  </si>
  <si>
    <t>DERECK</t>
  </si>
  <si>
    <t>TOMAS GARCIA</t>
  </si>
  <si>
    <t>ESTEBAN DIAZ</t>
  </si>
  <si>
    <t>MATEO URQUILLO</t>
  </si>
  <si>
    <t>NICOLAS RIVERA ANGEL</t>
  </si>
  <si>
    <t>EMILIO DAZA</t>
  </si>
  <si>
    <t>SANTIAGO VARGAS GOMEZ</t>
  </si>
  <si>
    <t>3x3 novatos</t>
  </si>
  <si>
    <t>[3x3x3] - [SEGUNDA]</t>
  </si>
  <si>
    <t>WILSON VILLAMIL</t>
  </si>
  <si>
    <t>JOSE ANGEL TERAN</t>
  </si>
  <si>
    <t>LAURA S RAMIREZ</t>
  </si>
  <si>
    <t>CRITHIAN FERNANDEZ</t>
  </si>
  <si>
    <t>CARLOS DANIEL BORRERO</t>
  </si>
  <si>
    <t>CRISTIANGUEVARA</t>
  </si>
  <si>
    <t>HENRY RAMIREZ</t>
  </si>
  <si>
    <t>MATEO BAENA</t>
  </si>
  <si>
    <t>ANDRES FLOREZ</t>
  </si>
  <si>
    <t>MIGUEL ANGEL PAJARO</t>
  </si>
  <si>
    <t>[3x3x3] - sub 30</t>
  </si>
  <si>
    <t>dnf</t>
  </si>
  <si>
    <t>SAMUEL VARGAS</t>
  </si>
  <si>
    <t>CHRISTOPHER JOEL MORENO</t>
  </si>
  <si>
    <t>MANASES  CUERVO</t>
  </si>
  <si>
    <t>JERONIMO RODRIGUEZ</t>
  </si>
  <si>
    <t>[3x3x3] - [sub20</t>
  </si>
  <si>
    <t>[3x3x3] - [SUB 16 1R]</t>
  </si>
  <si>
    <t>[3x3x3] - [SUB 16]</t>
  </si>
  <si>
    <t>[3x3x3] - [SUB 13 1R]</t>
  </si>
  <si>
    <t>KEVIN VANEGAS DIAZ</t>
  </si>
  <si>
    <t>EDUARD GARCIA</t>
  </si>
  <si>
    <t>.</t>
  </si>
  <si>
    <t>SKEWB PRIMERA</t>
  </si>
  <si>
    <t>KEVIN VANEGAS</t>
  </si>
  <si>
    <t>TOMAS GARCIA CASTILLO</t>
  </si>
  <si>
    <t>1.09.56</t>
  </si>
  <si>
    <t>1.10.46</t>
  </si>
  <si>
    <t>PYRAMINX</t>
  </si>
  <si>
    <t>Juan David Carmona Vásquez</t>
  </si>
  <si>
    <t>Cristhian Fernandez</t>
  </si>
  <si>
    <t>Lorenzo Gonzales</t>
  </si>
  <si>
    <t>Thomas Munevar</t>
  </si>
  <si>
    <t>Sergio Corredor</t>
  </si>
  <si>
    <t>Diego Hernandez</t>
  </si>
  <si>
    <t>Miguel Angel Almanza Bustamante</t>
  </si>
  <si>
    <t>Juan Diego Toro</t>
  </si>
  <si>
    <t>Samuel Felipe Vargas Muñoz</t>
  </si>
  <si>
    <t>Federico Peña</t>
  </si>
  <si>
    <t>Miguel Diaz</t>
  </si>
  <si>
    <t>Santiago vargas</t>
  </si>
  <si>
    <t>luna Bernal</t>
  </si>
  <si>
    <t>Juan Diego Leon</t>
  </si>
  <si>
    <t>Ricardo Pulido</t>
  </si>
  <si>
    <t>Andres Camilo Molina</t>
  </si>
  <si>
    <t>Emilio Daza</t>
  </si>
  <si>
    <t>Juan Diego Porras</t>
  </si>
  <si>
    <t>Santiago Bohorquez</t>
  </si>
  <si>
    <t>Sahily Vargas</t>
  </si>
  <si>
    <t xml:space="preserve">Cristian Gevara </t>
  </si>
  <si>
    <t>Tomás García</t>
  </si>
  <si>
    <t>Dana Silva</t>
  </si>
  <si>
    <t>Nicolas Lozano</t>
  </si>
  <si>
    <t>Oscar Alejandro Ramos</t>
  </si>
  <si>
    <t>Mateo Urquijo</t>
  </si>
  <si>
    <t>Esteban Sabogal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</si>
</sst>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\-mm\-dd"/>
    <numFmt numFmtId="165" formatCode="mm:ss.00"/>
    <numFmt numFmtId="166" formatCode="m:ss.00"/>
  </numFmts>
  <fonts count="12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color theme="1"/>
      <name val="Arial"/>
      <scheme val="minor"/>
    </font>
    <font>
      <b/>
      <sz val="12.0"/>
      <color theme="1"/>
      <name val="Arial"/>
    </font>
    <font>
      <b/>
      <sz val="14.0"/>
      <color theme="1"/>
      <name val="Arial"/>
    </font>
    <font>
      <b/>
      <sz val="16.0"/>
      <color theme="1"/>
      <name val="Arial"/>
    </font>
    <font>
      <sz val="12.0"/>
      <color theme="1"/>
      <name val="Arial"/>
    </font>
    <font>
      <sz val="14.0"/>
      <color theme="1"/>
      <name val="Arial"/>
    </font>
    <font>
      <sz val="16.0"/>
      <color theme="1"/>
      <name val="Calibri"/>
    </font>
    <font>
      <b/>
      <sz val="16.0"/>
      <color rgb="FF5C5C5C"/>
      <name val="Nunito"/>
    </font>
    <font>
      <sz val="16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21FF21"/>
        <bgColor rgb="FF21FF21"/>
      </patternFill>
    </fill>
    <fill>
      <patternFill patternType="solid">
        <fgColor rgb="FFC6D9F0"/>
        <bgColor rgb="FFC6D9F0"/>
      </patternFill>
    </fill>
    <fill>
      <patternFill patternType="solid">
        <fgColor rgb="FFB7B7B7"/>
        <bgColor rgb="FFB7B7B7"/>
      </patternFill>
    </fill>
    <fill>
      <patternFill patternType="solid">
        <fgColor rgb="FFB8CCE4"/>
        <bgColor rgb="FFB8CCE4"/>
      </patternFill>
    </fill>
    <fill>
      <patternFill patternType="solid">
        <fgColor rgb="FFBFBFBF"/>
        <bgColor rgb="FFBFBFBF"/>
      </patternFill>
    </fill>
    <fill>
      <patternFill patternType="solid">
        <fgColor rgb="FF92D050"/>
        <bgColor rgb="FF92D050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8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top"/>
    </xf>
    <xf borderId="0" fillId="0" fontId="1" numFmtId="0" xfId="0" applyAlignment="1" applyFont="1">
      <alignment horizontal="left" vertical="top"/>
    </xf>
    <xf borderId="0" fillId="0" fontId="1" numFmtId="14" xfId="0" applyAlignment="1" applyFont="1" applyNumberFormat="1">
      <alignment horizontal="center" vertical="top"/>
    </xf>
    <xf borderId="0" fillId="0" fontId="2" numFmtId="0" xfId="0" applyAlignment="1" applyFont="1">
      <alignment horizontal="center" vertical="top"/>
    </xf>
    <xf borderId="0" fillId="0" fontId="2" numFmtId="0" xfId="0" applyAlignment="1" applyFont="1">
      <alignment vertical="top"/>
    </xf>
    <xf borderId="0" fillId="0" fontId="2" numFmtId="164" xfId="0" applyAlignment="1" applyFont="1" applyNumberFormat="1">
      <alignment horizontal="center" vertical="top"/>
    </xf>
    <xf borderId="0" fillId="0" fontId="1" numFmtId="0" xfId="0" applyAlignment="1" applyFont="1">
      <alignment shrinkToFit="0" vertical="top" wrapText="1"/>
    </xf>
    <xf borderId="0" fillId="0" fontId="1" numFmtId="0" xfId="0" applyAlignment="1" applyFont="1">
      <alignment horizontal="left" shrinkToFit="0" vertical="top" wrapText="1"/>
    </xf>
    <xf borderId="0" fillId="0" fontId="1" numFmtId="0" xfId="0" applyAlignment="1" applyFont="1">
      <alignment horizontal="center" shrinkToFit="0" vertical="top" wrapText="1"/>
    </xf>
    <xf borderId="0" fillId="0" fontId="2" numFmtId="0" xfId="0" applyAlignment="1" applyFont="1">
      <alignment horizontal="center" shrinkToFit="0" vertical="top" wrapText="1"/>
    </xf>
    <xf borderId="0" fillId="0" fontId="2" numFmtId="0" xfId="0" applyAlignment="1" applyFont="1">
      <alignment shrinkToFit="0" vertical="top" wrapText="1"/>
    </xf>
    <xf borderId="0" fillId="0" fontId="3" numFmtId="0" xfId="0" applyFont="1"/>
    <xf borderId="0" fillId="0" fontId="2" numFmtId="0" xfId="0" applyFont="1"/>
    <xf borderId="0" fillId="0" fontId="2" numFmtId="0" xfId="0" applyAlignment="1" applyFont="1">
      <alignment horizontal="center"/>
    </xf>
    <xf borderId="0" fillId="0" fontId="2" numFmtId="164" xfId="0" applyAlignment="1" applyFont="1" applyNumberFormat="1">
      <alignment horizontal="center"/>
    </xf>
    <xf borderId="0" fillId="0" fontId="2" numFmtId="0" xfId="0" applyAlignment="1" applyFont="1">
      <alignment horizontal="left" vertical="top"/>
    </xf>
    <xf borderId="0" fillId="0" fontId="2" numFmtId="14" xfId="0" applyAlignment="1" applyFont="1" applyNumberFormat="1">
      <alignment horizontal="center" vertical="top"/>
    </xf>
    <xf borderId="0" fillId="0" fontId="4" numFmtId="0" xfId="0" applyFont="1"/>
    <xf borderId="0" fillId="0" fontId="1" numFmtId="0" xfId="0" applyFont="1"/>
    <xf borderId="0" fillId="0" fontId="1" numFmtId="0" xfId="0" applyAlignment="1" applyFont="1">
      <alignment horizontal="right"/>
    </xf>
    <xf borderId="1" fillId="0" fontId="5" numFmtId="0" xfId="0" applyBorder="1" applyFont="1"/>
    <xf borderId="1" fillId="0" fontId="5" numFmtId="0" xfId="0" applyAlignment="1" applyBorder="1" applyFont="1">
      <alignment horizontal="center"/>
    </xf>
    <xf borderId="1" fillId="0" fontId="5" numFmtId="0" xfId="0" applyAlignment="1" applyBorder="1" applyFont="1">
      <alignment horizontal="left"/>
    </xf>
    <xf borderId="1" fillId="0" fontId="6" numFmtId="0" xfId="0" applyAlignment="1" applyBorder="1" applyFont="1">
      <alignment horizontal="center"/>
    </xf>
    <xf borderId="0" fillId="0" fontId="7" numFmtId="0" xfId="0" applyFont="1"/>
    <xf borderId="1" fillId="2" fontId="8" numFmtId="0" xfId="0" applyBorder="1" applyFill="1" applyFont="1"/>
    <xf borderId="1" fillId="0" fontId="9" numFmtId="0" xfId="0" applyAlignment="1" applyBorder="1" applyFont="1">
      <alignment readingOrder="0"/>
    </xf>
    <xf borderId="1" fillId="0" fontId="8" numFmtId="0" xfId="0" applyBorder="1" applyFont="1"/>
    <xf borderId="1" fillId="0" fontId="8" numFmtId="2" xfId="0" applyAlignment="1" applyBorder="1" applyFont="1" applyNumberFormat="1">
      <alignment horizontal="right" readingOrder="0"/>
    </xf>
    <xf borderId="1" fillId="0" fontId="8" numFmtId="2" xfId="0" applyAlignment="1" applyBorder="1" applyFont="1" applyNumberFormat="1">
      <alignment horizontal="right"/>
    </xf>
    <xf borderId="1" fillId="0" fontId="10" numFmtId="165" xfId="0" applyBorder="1" applyFont="1" applyNumberFormat="1"/>
    <xf borderId="1" fillId="0" fontId="2" numFmtId="0" xfId="0" applyBorder="1" applyFont="1"/>
    <xf borderId="1" fillId="3" fontId="8" numFmtId="0" xfId="0" applyBorder="1" applyFill="1" applyFont="1"/>
    <xf borderId="1" fillId="3" fontId="8" numFmtId="2" xfId="0" applyAlignment="1" applyBorder="1" applyFont="1" applyNumberFormat="1">
      <alignment horizontal="right" readingOrder="0"/>
    </xf>
    <xf borderId="1" fillId="3" fontId="8" numFmtId="2" xfId="0" applyAlignment="1" applyBorder="1" applyFont="1" applyNumberFormat="1">
      <alignment horizontal="right"/>
    </xf>
    <xf borderId="1" fillId="0" fontId="9" numFmtId="0" xfId="0" applyBorder="1" applyFont="1"/>
    <xf borderId="0" fillId="0" fontId="9" numFmtId="0" xfId="0" applyFont="1"/>
    <xf borderId="2" fillId="0" fontId="9" numFmtId="0" xfId="0" applyBorder="1" applyFont="1"/>
    <xf borderId="0" fillId="0" fontId="8" numFmtId="0" xfId="0" applyFont="1"/>
    <xf borderId="0" fillId="0" fontId="2" numFmtId="2" xfId="0" applyFont="1" applyNumberFormat="1"/>
    <xf borderId="1" fillId="0" fontId="7" numFmtId="0" xfId="0" applyBorder="1" applyFont="1"/>
    <xf borderId="1" fillId="0" fontId="9" numFmtId="0" xfId="0" applyAlignment="1" applyBorder="1" applyFont="1">
      <alignment readingOrder="0"/>
    </xf>
    <xf borderId="3" fillId="0" fontId="8" numFmtId="2" xfId="0" applyAlignment="1" applyBorder="1" applyFont="1" applyNumberFormat="1">
      <alignment horizontal="right"/>
    </xf>
    <xf borderId="1" fillId="0" fontId="8" numFmtId="166" xfId="0" applyBorder="1" applyFont="1" applyNumberFormat="1"/>
    <xf borderId="4" fillId="0" fontId="11" numFmtId="2" xfId="0" applyBorder="1" applyFont="1" applyNumberFormat="1"/>
    <xf borderId="0" fillId="3" fontId="4" numFmtId="0" xfId="0" applyFont="1"/>
    <xf borderId="0" fillId="4" fontId="4" numFmtId="0" xfId="0" applyFill="1" applyFont="1"/>
    <xf borderId="0" fillId="3" fontId="1" numFmtId="0" xfId="0" applyFont="1"/>
    <xf borderId="0" fillId="4" fontId="3" numFmtId="0" xfId="0" applyFont="1"/>
    <xf borderId="0" fillId="4" fontId="1" numFmtId="0" xfId="0" applyFont="1"/>
    <xf borderId="1" fillId="3" fontId="6" numFmtId="0" xfId="0" applyBorder="1" applyFont="1"/>
    <xf borderId="1" fillId="0" fontId="6" numFmtId="0" xfId="0" applyBorder="1" applyFont="1"/>
    <xf borderId="1" fillId="4" fontId="6" numFmtId="0" xfId="0" applyAlignment="1" applyBorder="1" applyFont="1">
      <alignment horizontal="center"/>
    </xf>
    <xf borderId="1" fillId="4" fontId="6" numFmtId="0" xfId="0" applyAlignment="1" applyBorder="1" applyFont="1">
      <alignment horizontal="left"/>
    </xf>
    <xf borderId="1" fillId="2" fontId="11" numFmtId="0" xfId="0" applyBorder="1" applyFont="1"/>
    <xf borderId="1" fillId="0" fontId="11" numFmtId="0" xfId="0" applyBorder="1" applyFont="1"/>
    <xf borderId="1" fillId="0" fontId="11" numFmtId="2" xfId="0" applyAlignment="1" applyBorder="1" applyFont="1" applyNumberFormat="1">
      <alignment horizontal="right" readingOrder="0"/>
    </xf>
    <xf borderId="1" fillId="4" fontId="11" numFmtId="2" xfId="0" applyAlignment="1" applyBorder="1" applyFont="1" applyNumberFormat="1">
      <alignment horizontal="right"/>
    </xf>
    <xf borderId="1" fillId="5" fontId="11" numFmtId="2" xfId="0" applyAlignment="1" applyBorder="1" applyFill="1" applyFont="1" applyNumberFormat="1">
      <alignment horizontal="right"/>
    </xf>
    <xf borderId="1" fillId="3" fontId="11" numFmtId="0" xfId="0" applyBorder="1" applyFont="1"/>
    <xf borderId="1" fillId="3" fontId="11" numFmtId="0" xfId="0" applyAlignment="1" applyBorder="1" applyFont="1">
      <alignment readingOrder="0"/>
    </xf>
    <xf borderId="1" fillId="4" fontId="11" numFmtId="2" xfId="0" applyAlignment="1" applyBorder="1" applyFont="1" applyNumberFormat="1">
      <alignment horizontal="right" readingOrder="0"/>
    </xf>
    <xf borderId="1" fillId="0" fontId="11" numFmtId="2" xfId="0" applyAlignment="1" applyBorder="1" applyFont="1" applyNumberFormat="1">
      <alignment horizontal="right"/>
    </xf>
    <xf borderId="0" fillId="3" fontId="3" numFmtId="0" xfId="0" applyFont="1"/>
    <xf borderId="1" fillId="0" fontId="6" numFmtId="0" xfId="0" applyAlignment="1" applyBorder="1" applyFont="1">
      <alignment horizontal="left"/>
    </xf>
    <xf borderId="1" fillId="6" fontId="11" numFmtId="0" xfId="0" applyBorder="1" applyFill="1" applyFont="1"/>
    <xf borderId="1" fillId="7" fontId="11" numFmtId="0" xfId="0" applyBorder="1" applyFill="1" applyFont="1"/>
    <xf borderId="1" fillId="3" fontId="5" numFmtId="0" xfId="0" applyBorder="1" applyFont="1"/>
    <xf borderId="1" fillId="2" fontId="8" numFmtId="0" xfId="0" applyAlignment="1" applyBorder="1" applyFont="1">
      <alignment readingOrder="0"/>
    </xf>
    <xf borderId="1" fillId="0" fontId="3" numFmtId="0" xfId="0" applyBorder="1" applyFont="1"/>
    <xf borderId="1" fillId="3" fontId="8" numFmtId="0" xfId="0" applyAlignment="1" applyBorder="1" applyFont="1">
      <alignment readingOrder="0"/>
    </xf>
    <xf borderId="5" fillId="0" fontId="8" numFmtId="0" xfId="0" applyBorder="1" applyFont="1"/>
    <xf borderId="3" fillId="0" fontId="8" numFmtId="2" xfId="0" applyAlignment="1" applyBorder="1" applyFont="1" applyNumberFormat="1">
      <alignment horizontal="right" readingOrder="0"/>
    </xf>
    <xf borderId="3" fillId="3" fontId="8" numFmtId="2" xfId="0" applyAlignment="1" applyBorder="1" applyFont="1" applyNumberFormat="1">
      <alignment horizontal="right"/>
    </xf>
    <xf borderId="0" fillId="3" fontId="8" numFmtId="0" xfId="0" applyFont="1"/>
    <xf borderId="5" fillId="3" fontId="8" numFmtId="0" xfId="0" applyBorder="1" applyFont="1"/>
    <xf borderId="5" fillId="0" fontId="2" numFmtId="0" xfId="0" applyBorder="1" applyFont="1"/>
    <xf borderId="0" fillId="0" fontId="4" numFmtId="0" xfId="0" applyAlignment="1" applyFont="1">
      <alignment readingOrder="0"/>
    </xf>
    <xf borderId="3" fillId="3" fontId="8" numFmtId="2" xfId="0" applyAlignment="1" applyBorder="1" applyFont="1" applyNumberFormat="1">
      <alignment horizontal="right" readingOrder="0"/>
    </xf>
    <xf borderId="1" fillId="2" fontId="11" numFmtId="0" xfId="0" applyAlignment="1" applyBorder="1" applyFont="1">
      <alignment readingOrder="0"/>
    </xf>
    <xf borderId="0" fillId="0" fontId="8" numFmtId="2" xfId="0" applyAlignment="1" applyFont="1" applyNumberFormat="1">
      <alignment horizontal="right" readingOrder="0"/>
    </xf>
    <xf borderId="1" fillId="0" fontId="11" numFmtId="2" xfId="0" applyBorder="1" applyFont="1" applyNumberFormat="1"/>
    <xf borderId="4" fillId="3" fontId="8" numFmtId="2" xfId="0" applyAlignment="1" applyBorder="1" applyFont="1" applyNumberFormat="1">
      <alignment horizontal="right"/>
    </xf>
    <xf borderId="0" fillId="2" fontId="11" numFmtId="0" xfId="0" applyFont="1"/>
    <xf borderId="0" fillId="0" fontId="9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6.0"/>
    <col customWidth="1" min="2" max="2" width="38.38"/>
    <col customWidth="1" min="3" max="3" width="17.0"/>
    <col customWidth="1" min="4" max="4" width="12.88"/>
    <col customWidth="1" min="5" max="5" width="12.13"/>
    <col customWidth="1" min="6" max="6" width="17.38"/>
    <col customWidth="1" min="7" max="25" width="6.0"/>
    <col customWidth="1" min="26" max="26" width="9.13"/>
  </cols>
  <sheetData>
    <row r="1" ht="21.0" customHeight="1">
      <c r="A1" s="1" t="s">
        <v>0</v>
      </c>
      <c r="B1" s="2"/>
      <c r="C1" s="2"/>
      <c r="D1" s="2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5"/>
    </row>
    <row r="2" ht="12.75" customHeight="1">
      <c r="A2" s="1" t="s">
        <v>1</v>
      </c>
      <c r="B2" s="2"/>
      <c r="C2" s="2"/>
      <c r="D2" s="2"/>
      <c r="E2" s="3"/>
      <c r="F2" s="6"/>
      <c r="G2" s="4"/>
      <c r="H2" s="4">
        <f t="shared" ref="H2:Y2" si="1">SUM(H4:H40)</f>
        <v>0</v>
      </c>
      <c r="I2" s="4">
        <f t="shared" si="1"/>
        <v>1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  <c r="O2" s="4">
        <f t="shared" si="1"/>
        <v>0</v>
      </c>
      <c r="P2" s="4">
        <f t="shared" si="1"/>
        <v>0</v>
      </c>
      <c r="Q2" s="4">
        <f t="shared" si="1"/>
        <v>0</v>
      </c>
      <c r="R2" s="4">
        <f t="shared" si="1"/>
        <v>0</v>
      </c>
      <c r="S2" s="4">
        <f t="shared" si="1"/>
        <v>0</v>
      </c>
      <c r="T2" s="4">
        <f t="shared" si="1"/>
        <v>0</v>
      </c>
      <c r="U2" s="4">
        <f t="shared" si="1"/>
        <v>0</v>
      </c>
      <c r="V2" s="4">
        <f t="shared" si="1"/>
        <v>0</v>
      </c>
      <c r="W2" s="4">
        <f t="shared" si="1"/>
        <v>0</v>
      </c>
      <c r="X2" s="4">
        <f t="shared" si="1"/>
        <v>0</v>
      </c>
      <c r="Y2" s="4">
        <f t="shared" si="1"/>
        <v>0</v>
      </c>
      <c r="Z2" s="5"/>
    </row>
    <row r="3" ht="12.75" customHeight="1">
      <c r="A3" s="7" t="s">
        <v>2</v>
      </c>
      <c r="B3" s="8" t="s">
        <v>3</v>
      </c>
      <c r="C3" s="8" t="s">
        <v>4</v>
      </c>
      <c r="D3" s="8" t="s">
        <v>5</v>
      </c>
      <c r="E3" s="9" t="s">
        <v>6</v>
      </c>
      <c r="F3" s="9" t="s">
        <v>7</v>
      </c>
      <c r="G3" s="4"/>
      <c r="H3" s="10" t="s">
        <v>8</v>
      </c>
      <c r="I3" s="10" t="s">
        <v>9</v>
      </c>
      <c r="J3" s="10" t="s">
        <v>10</v>
      </c>
      <c r="K3" s="10" t="s">
        <v>11</v>
      </c>
      <c r="L3" s="10" t="s">
        <v>12</v>
      </c>
      <c r="M3" s="10" t="s">
        <v>13</v>
      </c>
      <c r="N3" s="10" t="s">
        <v>14</v>
      </c>
      <c r="O3" s="10" t="s">
        <v>15</v>
      </c>
      <c r="P3" s="10" t="s">
        <v>16</v>
      </c>
      <c r="Q3" s="10" t="s">
        <v>17</v>
      </c>
      <c r="R3" s="10" t="s">
        <v>18</v>
      </c>
      <c r="S3" s="10" t="s">
        <v>19</v>
      </c>
      <c r="T3" s="10" t="s">
        <v>20</v>
      </c>
      <c r="U3" s="10" t="s">
        <v>21</v>
      </c>
      <c r="V3" s="10" t="s">
        <v>22</v>
      </c>
      <c r="W3" s="10" t="s">
        <v>23</v>
      </c>
      <c r="X3" s="10" t="s">
        <v>24</v>
      </c>
      <c r="Y3" s="10" t="s">
        <v>25</v>
      </c>
      <c r="Z3" s="11"/>
    </row>
    <row r="4" ht="12.75" customHeight="1">
      <c r="A4" s="5">
        <f t="shared" ref="A4:A40" si="2">ROW()-3</f>
        <v>1</v>
      </c>
      <c r="B4" s="12" t="s">
        <v>26</v>
      </c>
      <c r="D4" s="13"/>
      <c r="E4" s="14"/>
      <c r="F4" s="15"/>
      <c r="G4" s="4"/>
      <c r="H4" s="4"/>
      <c r="I4" s="4">
        <v>1.0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5"/>
    </row>
    <row r="5" ht="12.75" customHeight="1">
      <c r="A5" s="5">
        <f t="shared" si="2"/>
        <v>2</v>
      </c>
      <c r="D5" s="13"/>
      <c r="E5" s="14"/>
      <c r="F5" s="15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5"/>
    </row>
    <row r="6" ht="12.75" customHeight="1">
      <c r="A6" s="5">
        <f t="shared" si="2"/>
        <v>3</v>
      </c>
      <c r="D6" s="13"/>
      <c r="E6" s="14"/>
      <c r="F6" s="15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5"/>
    </row>
    <row r="7" ht="12.75" customHeight="1">
      <c r="A7" s="5">
        <f t="shared" si="2"/>
        <v>4</v>
      </c>
      <c r="D7" s="13"/>
      <c r="E7" s="14"/>
      <c r="F7" s="15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5"/>
    </row>
    <row r="8" ht="12.75" customHeight="1">
      <c r="A8" s="5">
        <f t="shared" si="2"/>
        <v>5</v>
      </c>
      <c r="D8" s="13"/>
      <c r="E8" s="14"/>
      <c r="F8" s="15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5"/>
    </row>
    <row r="9" ht="12.75" customHeight="1">
      <c r="A9" s="5">
        <f t="shared" si="2"/>
        <v>6</v>
      </c>
      <c r="D9" s="13"/>
      <c r="E9" s="14"/>
      <c r="F9" s="15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5"/>
    </row>
    <row r="10" ht="12.75" customHeight="1">
      <c r="A10" s="5">
        <f t="shared" si="2"/>
        <v>7</v>
      </c>
      <c r="D10" s="13"/>
      <c r="E10" s="14"/>
      <c r="F10" s="15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5"/>
    </row>
    <row r="11" ht="12.75" customHeight="1">
      <c r="A11" s="5">
        <f t="shared" si="2"/>
        <v>8</v>
      </c>
      <c r="D11" s="13"/>
      <c r="E11" s="14"/>
      <c r="F11" s="15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5"/>
    </row>
    <row r="12" ht="12.75" customHeight="1">
      <c r="A12" s="5">
        <f t="shared" si="2"/>
        <v>9</v>
      </c>
      <c r="D12" s="13"/>
      <c r="E12" s="14"/>
      <c r="F12" s="15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5"/>
    </row>
    <row r="13" ht="12.75" customHeight="1">
      <c r="A13" s="5">
        <f t="shared" si="2"/>
        <v>10</v>
      </c>
      <c r="D13" s="13"/>
      <c r="E13" s="14"/>
      <c r="F13" s="15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5"/>
    </row>
    <row r="14" ht="12.75" customHeight="1">
      <c r="A14" s="5">
        <f t="shared" si="2"/>
        <v>11</v>
      </c>
      <c r="D14" s="13"/>
      <c r="E14" s="14"/>
      <c r="F14" s="15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5"/>
    </row>
    <row r="15" ht="12.75" customHeight="1">
      <c r="A15" s="5">
        <f t="shared" si="2"/>
        <v>12</v>
      </c>
      <c r="D15" s="13"/>
      <c r="E15" s="14"/>
      <c r="F15" s="15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5"/>
    </row>
    <row r="16" ht="12.75" customHeight="1">
      <c r="A16" s="5">
        <f t="shared" si="2"/>
        <v>13</v>
      </c>
      <c r="D16" s="13"/>
      <c r="E16" s="14"/>
      <c r="F16" s="15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5"/>
    </row>
    <row r="17" ht="12.75" customHeight="1">
      <c r="A17" s="5">
        <f t="shared" si="2"/>
        <v>14</v>
      </c>
      <c r="D17" s="13"/>
      <c r="E17" s="14"/>
      <c r="F17" s="15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5"/>
    </row>
    <row r="18" ht="12.75" customHeight="1">
      <c r="A18" s="5">
        <f t="shared" si="2"/>
        <v>15</v>
      </c>
      <c r="D18" s="13"/>
      <c r="E18" s="14"/>
      <c r="F18" s="15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5"/>
    </row>
    <row r="19" ht="12.75" customHeight="1">
      <c r="A19" s="5">
        <f t="shared" si="2"/>
        <v>16</v>
      </c>
      <c r="D19" s="13"/>
      <c r="E19" s="14"/>
      <c r="F19" s="15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5"/>
    </row>
    <row r="20" ht="12.75" customHeight="1">
      <c r="A20" s="5">
        <f t="shared" si="2"/>
        <v>17</v>
      </c>
      <c r="D20" s="13"/>
      <c r="E20" s="14"/>
      <c r="F20" s="15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5"/>
    </row>
    <row r="21" ht="12.75" customHeight="1">
      <c r="A21" s="5">
        <f t="shared" si="2"/>
        <v>18</v>
      </c>
      <c r="D21" s="13"/>
      <c r="E21" s="14"/>
      <c r="F21" s="15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5"/>
    </row>
    <row r="22" ht="12.75" customHeight="1">
      <c r="A22" s="5">
        <f t="shared" si="2"/>
        <v>19</v>
      </c>
      <c r="D22" s="13"/>
      <c r="E22" s="14"/>
      <c r="F22" s="15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5"/>
    </row>
    <row r="23" ht="12.75" customHeight="1">
      <c r="A23" s="5">
        <f t="shared" si="2"/>
        <v>20</v>
      </c>
      <c r="D23" s="13"/>
      <c r="E23" s="14"/>
      <c r="F23" s="15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5"/>
    </row>
    <row r="24" ht="12.75" customHeight="1">
      <c r="A24" s="5">
        <f t="shared" si="2"/>
        <v>21</v>
      </c>
      <c r="D24" s="13"/>
      <c r="E24" s="14"/>
      <c r="F24" s="15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5"/>
    </row>
    <row r="25" ht="12.75" customHeight="1">
      <c r="A25" s="5">
        <f t="shared" si="2"/>
        <v>22</v>
      </c>
      <c r="D25" s="13"/>
      <c r="E25" s="14"/>
      <c r="F25" s="15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5"/>
    </row>
    <row r="26" ht="12.75" customHeight="1">
      <c r="A26" s="5">
        <f t="shared" si="2"/>
        <v>23</v>
      </c>
      <c r="D26" s="13"/>
      <c r="E26" s="14"/>
      <c r="F26" s="15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5"/>
    </row>
    <row r="27" ht="12.75" customHeight="1">
      <c r="A27" s="5">
        <f t="shared" si="2"/>
        <v>24</v>
      </c>
      <c r="D27" s="13"/>
      <c r="E27" s="14"/>
      <c r="F27" s="15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5"/>
    </row>
    <row r="28" ht="12.75" customHeight="1">
      <c r="A28" s="5">
        <f t="shared" si="2"/>
        <v>25</v>
      </c>
      <c r="D28" s="13"/>
      <c r="E28" s="14"/>
      <c r="F28" s="15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5"/>
    </row>
    <row r="29" ht="12.75" customHeight="1">
      <c r="A29" s="5">
        <f t="shared" si="2"/>
        <v>26</v>
      </c>
      <c r="D29" s="13"/>
      <c r="E29" s="14"/>
      <c r="F29" s="15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5"/>
    </row>
    <row r="30" ht="12.75" customHeight="1">
      <c r="A30" s="5">
        <f t="shared" si="2"/>
        <v>27</v>
      </c>
      <c r="D30" s="13"/>
      <c r="E30" s="14"/>
      <c r="F30" s="15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5"/>
    </row>
    <row r="31" ht="12.75" customHeight="1">
      <c r="A31" s="5">
        <f t="shared" si="2"/>
        <v>28</v>
      </c>
      <c r="D31" s="13"/>
      <c r="E31" s="14"/>
      <c r="F31" s="15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5"/>
    </row>
    <row r="32" ht="12.75" customHeight="1">
      <c r="A32" s="5">
        <f t="shared" si="2"/>
        <v>29</v>
      </c>
      <c r="D32" s="13"/>
      <c r="E32" s="14"/>
      <c r="F32" s="15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5"/>
    </row>
    <row r="33" ht="12.75" customHeight="1">
      <c r="A33" s="5">
        <f t="shared" si="2"/>
        <v>30</v>
      </c>
      <c r="D33" s="13"/>
      <c r="E33" s="14"/>
      <c r="F33" s="15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5"/>
    </row>
    <row r="34" ht="12.75" customHeight="1">
      <c r="A34" s="5">
        <f t="shared" si="2"/>
        <v>31</v>
      </c>
      <c r="D34" s="13"/>
      <c r="E34" s="14"/>
      <c r="F34" s="15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5"/>
    </row>
    <row r="35" ht="12.75" customHeight="1">
      <c r="A35" s="5">
        <f t="shared" si="2"/>
        <v>32</v>
      </c>
      <c r="D35" s="13"/>
      <c r="E35" s="14"/>
      <c r="F35" s="15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5"/>
    </row>
    <row r="36" ht="12.75" customHeight="1">
      <c r="A36" s="5">
        <f t="shared" si="2"/>
        <v>33</v>
      </c>
      <c r="D36" s="13"/>
      <c r="E36" s="14"/>
      <c r="F36" s="15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5"/>
    </row>
    <row r="37" ht="12.75" customHeight="1">
      <c r="A37" s="5">
        <f t="shared" si="2"/>
        <v>34</v>
      </c>
      <c r="D37" s="13"/>
      <c r="E37" s="14"/>
      <c r="F37" s="15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5"/>
    </row>
    <row r="38" ht="12.75" customHeight="1">
      <c r="A38" s="5">
        <f t="shared" si="2"/>
        <v>35</v>
      </c>
      <c r="D38" s="13"/>
      <c r="E38" s="14"/>
      <c r="F38" s="15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5"/>
    </row>
    <row r="39" ht="12.75" customHeight="1">
      <c r="A39" s="5">
        <f t="shared" si="2"/>
        <v>36</v>
      </c>
      <c r="D39" s="13"/>
      <c r="E39" s="14"/>
      <c r="F39" s="15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5"/>
    </row>
    <row r="40" ht="12.75" customHeight="1">
      <c r="A40" s="5">
        <f t="shared" si="2"/>
        <v>37</v>
      </c>
      <c r="D40" s="13"/>
      <c r="E40" s="14"/>
      <c r="F40" s="15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5"/>
    </row>
    <row r="41" ht="12.75" customHeight="1">
      <c r="A41" s="5"/>
      <c r="B41" s="16"/>
      <c r="C41" s="16"/>
      <c r="D41" s="16"/>
      <c r="E41" s="17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5"/>
    </row>
    <row r="42" ht="12.75" customHeight="1">
      <c r="A42" s="5"/>
      <c r="B42" s="16"/>
      <c r="C42" s="16"/>
      <c r="D42" s="16"/>
      <c r="E42" s="17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5"/>
    </row>
    <row r="43" ht="12.75" customHeight="1">
      <c r="A43" s="5"/>
      <c r="B43" s="16"/>
      <c r="C43" s="16"/>
      <c r="D43" s="16"/>
      <c r="E43" s="17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5"/>
    </row>
    <row r="44" ht="12.75" customHeight="1">
      <c r="A44" s="5"/>
      <c r="B44" s="16"/>
      <c r="C44" s="16"/>
      <c r="D44" s="16"/>
      <c r="E44" s="17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5"/>
    </row>
    <row r="45" ht="12.75" customHeight="1">
      <c r="A45" s="5"/>
      <c r="B45" s="16"/>
      <c r="C45" s="16"/>
      <c r="D45" s="16"/>
      <c r="E45" s="17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5"/>
    </row>
    <row r="46" ht="12.75" customHeight="1">
      <c r="A46" s="5"/>
      <c r="B46" s="16"/>
      <c r="C46" s="16"/>
      <c r="D46" s="16"/>
      <c r="E46" s="17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5"/>
    </row>
    <row r="47" ht="12.75" customHeight="1">
      <c r="A47" s="5"/>
      <c r="B47" s="16"/>
      <c r="C47" s="16"/>
      <c r="D47" s="16"/>
      <c r="E47" s="17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5"/>
    </row>
    <row r="48" ht="12.75" customHeight="1">
      <c r="A48" s="5"/>
      <c r="B48" s="16"/>
      <c r="C48" s="16"/>
      <c r="D48" s="16"/>
      <c r="E48" s="17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5"/>
    </row>
    <row r="49" ht="12.75" customHeight="1">
      <c r="A49" s="5"/>
      <c r="B49" s="16"/>
      <c r="C49" s="16"/>
      <c r="D49" s="16"/>
      <c r="E49" s="17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5"/>
    </row>
    <row r="50" ht="12.75" customHeight="1">
      <c r="A50" s="5"/>
      <c r="B50" s="16"/>
      <c r="C50" s="16"/>
      <c r="D50" s="16"/>
      <c r="E50" s="17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5"/>
    </row>
    <row r="51" ht="12.75" customHeight="1">
      <c r="A51" s="5"/>
      <c r="B51" s="16"/>
      <c r="C51" s="16"/>
      <c r="D51" s="16"/>
      <c r="E51" s="17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5"/>
    </row>
    <row r="52" ht="12.75" customHeight="1">
      <c r="A52" s="5"/>
      <c r="B52" s="16"/>
      <c r="C52" s="16"/>
      <c r="D52" s="16"/>
      <c r="E52" s="17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5"/>
    </row>
    <row r="53" ht="12.75" customHeight="1">
      <c r="A53" s="5"/>
      <c r="B53" s="16"/>
      <c r="C53" s="16"/>
      <c r="D53" s="16"/>
      <c r="E53" s="17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5"/>
    </row>
    <row r="54" ht="12.75" customHeight="1">
      <c r="A54" s="5"/>
      <c r="B54" s="16"/>
      <c r="C54" s="16"/>
      <c r="D54" s="16"/>
      <c r="E54" s="17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5"/>
    </row>
    <row r="55" ht="12.75" customHeight="1">
      <c r="A55" s="5"/>
      <c r="B55" s="16"/>
      <c r="C55" s="16"/>
      <c r="D55" s="16"/>
      <c r="E55" s="17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5"/>
    </row>
    <row r="56" ht="12.75" customHeight="1">
      <c r="A56" s="5"/>
      <c r="B56" s="16"/>
      <c r="C56" s="16"/>
      <c r="D56" s="16"/>
      <c r="E56" s="17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5"/>
    </row>
    <row r="57" ht="12.75" customHeight="1">
      <c r="A57" s="5"/>
      <c r="B57" s="16"/>
      <c r="C57" s="16"/>
      <c r="D57" s="16"/>
      <c r="E57" s="17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5"/>
    </row>
    <row r="58" ht="12.75" customHeight="1">
      <c r="A58" s="5"/>
      <c r="B58" s="16"/>
      <c r="C58" s="16"/>
      <c r="D58" s="16"/>
      <c r="E58" s="17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5"/>
    </row>
    <row r="59" ht="12.75" customHeight="1">
      <c r="A59" s="5"/>
      <c r="B59" s="16"/>
      <c r="C59" s="16"/>
      <c r="D59" s="16"/>
      <c r="E59" s="17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5"/>
    </row>
    <row r="60" ht="12.75" customHeight="1">
      <c r="A60" s="5"/>
      <c r="B60" s="16"/>
      <c r="C60" s="16"/>
      <c r="D60" s="16"/>
      <c r="E60" s="17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5"/>
    </row>
    <row r="61" ht="12.75" customHeight="1">
      <c r="A61" s="5"/>
      <c r="B61" s="16"/>
      <c r="C61" s="16"/>
      <c r="D61" s="16"/>
      <c r="E61" s="17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5"/>
    </row>
    <row r="62" ht="12.75" customHeight="1">
      <c r="A62" s="5"/>
      <c r="B62" s="16"/>
      <c r="C62" s="16"/>
      <c r="D62" s="16"/>
      <c r="E62" s="17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5"/>
    </row>
    <row r="63" ht="12.75" customHeight="1">
      <c r="A63" s="5"/>
      <c r="B63" s="16"/>
      <c r="C63" s="16"/>
      <c r="D63" s="16"/>
      <c r="E63" s="17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5"/>
    </row>
    <row r="64" ht="12.75" customHeight="1">
      <c r="A64" s="5"/>
      <c r="B64" s="16"/>
      <c r="C64" s="16"/>
      <c r="D64" s="16"/>
      <c r="E64" s="17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5"/>
    </row>
    <row r="65" ht="12.75" customHeight="1">
      <c r="A65" s="5"/>
      <c r="B65" s="16"/>
      <c r="C65" s="16"/>
      <c r="D65" s="16"/>
      <c r="E65" s="17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5"/>
    </row>
    <row r="66" ht="12.75" customHeight="1">
      <c r="A66" s="5"/>
      <c r="B66" s="16"/>
      <c r="C66" s="16"/>
      <c r="D66" s="16"/>
      <c r="E66" s="17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5"/>
    </row>
    <row r="67" ht="12.75" customHeight="1">
      <c r="A67" s="5"/>
      <c r="B67" s="16"/>
      <c r="C67" s="16"/>
      <c r="D67" s="16"/>
      <c r="E67" s="17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5"/>
    </row>
    <row r="68" ht="12.75" customHeight="1">
      <c r="A68" s="5"/>
      <c r="B68" s="16"/>
      <c r="C68" s="16"/>
      <c r="D68" s="16"/>
      <c r="E68" s="17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5"/>
    </row>
    <row r="69" ht="12.75" customHeight="1">
      <c r="A69" s="5"/>
      <c r="B69" s="16"/>
      <c r="C69" s="16"/>
      <c r="D69" s="16"/>
      <c r="E69" s="17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5"/>
    </row>
    <row r="70" ht="12.75" customHeight="1">
      <c r="A70" s="5"/>
      <c r="B70" s="16"/>
      <c r="C70" s="16"/>
      <c r="D70" s="16"/>
      <c r="E70" s="17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5"/>
    </row>
    <row r="71" ht="12.75" customHeight="1">
      <c r="A71" s="5"/>
      <c r="B71" s="16"/>
      <c r="C71" s="16"/>
      <c r="D71" s="16"/>
      <c r="E71" s="17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5"/>
    </row>
    <row r="72" ht="12.75" customHeight="1">
      <c r="A72" s="5"/>
      <c r="B72" s="16"/>
      <c r="C72" s="16"/>
      <c r="D72" s="16"/>
      <c r="E72" s="17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5"/>
    </row>
    <row r="73" ht="12.75" customHeight="1">
      <c r="A73" s="5"/>
      <c r="B73" s="16"/>
      <c r="C73" s="16"/>
      <c r="D73" s="16"/>
      <c r="E73" s="17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5"/>
    </row>
    <row r="74" ht="12.75" customHeight="1">
      <c r="A74" s="5"/>
      <c r="B74" s="16"/>
      <c r="C74" s="16"/>
      <c r="D74" s="16"/>
      <c r="E74" s="17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5"/>
    </row>
    <row r="75" ht="12.75" customHeight="1">
      <c r="A75" s="5"/>
      <c r="B75" s="16"/>
      <c r="C75" s="16"/>
      <c r="D75" s="16"/>
      <c r="E75" s="17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5"/>
    </row>
    <row r="76" ht="12.75" customHeight="1">
      <c r="A76" s="5"/>
      <c r="B76" s="16"/>
      <c r="C76" s="16"/>
      <c r="D76" s="16"/>
      <c r="E76" s="17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5"/>
    </row>
    <row r="77" ht="12.75" customHeight="1">
      <c r="A77" s="5"/>
      <c r="B77" s="16"/>
      <c r="C77" s="16"/>
      <c r="D77" s="16"/>
      <c r="E77" s="17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5"/>
    </row>
    <row r="78" ht="12.75" customHeight="1">
      <c r="A78" s="5"/>
      <c r="B78" s="16"/>
      <c r="C78" s="16"/>
      <c r="D78" s="16"/>
      <c r="E78" s="17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5"/>
    </row>
    <row r="79" ht="12.75" customHeight="1">
      <c r="A79" s="5"/>
      <c r="B79" s="16"/>
      <c r="C79" s="16"/>
      <c r="D79" s="16"/>
      <c r="E79" s="17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5"/>
    </row>
    <row r="80" ht="12.75" customHeight="1">
      <c r="A80" s="5"/>
      <c r="B80" s="16"/>
      <c r="C80" s="16"/>
      <c r="D80" s="16"/>
      <c r="E80" s="17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5"/>
    </row>
    <row r="81" ht="12.75" customHeight="1">
      <c r="A81" s="5"/>
      <c r="B81" s="16"/>
      <c r="C81" s="16"/>
      <c r="D81" s="16"/>
      <c r="E81" s="17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5"/>
    </row>
    <row r="82" ht="12.75" customHeight="1">
      <c r="A82" s="5"/>
      <c r="B82" s="16"/>
      <c r="C82" s="16"/>
      <c r="D82" s="16"/>
      <c r="E82" s="17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5"/>
    </row>
    <row r="83" ht="12.75" customHeight="1">
      <c r="A83" s="5"/>
      <c r="B83" s="16"/>
      <c r="C83" s="16"/>
      <c r="D83" s="16"/>
      <c r="E83" s="17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5"/>
    </row>
    <row r="84" ht="12.75" customHeight="1">
      <c r="A84" s="5"/>
      <c r="B84" s="16"/>
      <c r="C84" s="16"/>
      <c r="D84" s="16"/>
      <c r="E84" s="17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5"/>
    </row>
    <row r="85" ht="12.75" customHeight="1">
      <c r="A85" s="5"/>
      <c r="B85" s="16"/>
      <c r="C85" s="16"/>
      <c r="D85" s="16"/>
      <c r="E85" s="17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5"/>
    </row>
    <row r="86" ht="12.75" customHeight="1">
      <c r="A86" s="5"/>
      <c r="B86" s="16"/>
      <c r="C86" s="16"/>
      <c r="D86" s="16"/>
      <c r="E86" s="17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5"/>
    </row>
    <row r="87" ht="12.75" customHeight="1">
      <c r="A87" s="5"/>
      <c r="B87" s="16"/>
      <c r="C87" s="16"/>
      <c r="D87" s="16"/>
      <c r="E87" s="17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5"/>
    </row>
    <row r="88" ht="12.75" customHeight="1">
      <c r="A88" s="5"/>
      <c r="B88" s="16"/>
      <c r="C88" s="16"/>
      <c r="D88" s="16"/>
      <c r="E88" s="17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5"/>
    </row>
    <row r="89" ht="12.75" customHeight="1">
      <c r="A89" s="5"/>
      <c r="B89" s="16"/>
      <c r="C89" s="16"/>
      <c r="D89" s="16"/>
      <c r="E89" s="17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5"/>
    </row>
    <row r="90" ht="12.75" customHeight="1">
      <c r="A90" s="5"/>
      <c r="B90" s="16"/>
      <c r="C90" s="16"/>
      <c r="D90" s="16"/>
      <c r="E90" s="17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5"/>
    </row>
    <row r="91" ht="12.75" customHeight="1">
      <c r="A91" s="5"/>
      <c r="B91" s="16"/>
      <c r="C91" s="16"/>
      <c r="D91" s="16"/>
      <c r="E91" s="17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5"/>
    </row>
    <row r="92" ht="12.75" customHeight="1">
      <c r="A92" s="5"/>
      <c r="B92" s="16"/>
      <c r="C92" s="16"/>
      <c r="D92" s="16"/>
      <c r="E92" s="17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5"/>
    </row>
    <row r="93" ht="12.75" customHeight="1">
      <c r="A93" s="5"/>
      <c r="B93" s="16"/>
      <c r="C93" s="16"/>
      <c r="D93" s="16"/>
      <c r="E93" s="17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5"/>
    </row>
    <row r="94" ht="12.75" customHeight="1">
      <c r="A94" s="5"/>
      <c r="B94" s="16"/>
      <c r="C94" s="16"/>
      <c r="D94" s="16"/>
      <c r="E94" s="17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5"/>
    </row>
    <row r="95" ht="12.75" customHeight="1">
      <c r="A95" s="5"/>
      <c r="B95" s="16"/>
      <c r="C95" s="16"/>
      <c r="D95" s="16"/>
      <c r="E95" s="17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5"/>
    </row>
    <row r="96" ht="12.75" customHeight="1">
      <c r="A96" s="5"/>
      <c r="B96" s="16"/>
      <c r="C96" s="16"/>
      <c r="D96" s="16"/>
      <c r="E96" s="17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5"/>
    </row>
    <row r="97" ht="12.75" customHeight="1">
      <c r="A97" s="5"/>
      <c r="B97" s="16"/>
      <c r="C97" s="16"/>
      <c r="D97" s="16"/>
      <c r="E97" s="17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5"/>
    </row>
    <row r="98" ht="12.75" customHeight="1">
      <c r="A98" s="5"/>
      <c r="B98" s="16"/>
      <c r="C98" s="16"/>
      <c r="D98" s="16"/>
      <c r="E98" s="17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5"/>
    </row>
    <row r="99" ht="12.75" customHeight="1">
      <c r="A99" s="5"/>
      <c r="B99" s="16"/>
      <c r="C99" s="16"/>
      <c r="D99" s="16"/>
      <c r="E99" s="17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5"/>
    </row>
    <row r="100" ht="12.75" customHeight="1">
      <c r="A100" s="5"/>
      <c r="B100" s="16"/>
      <c r="C100" s="16"/>
      <c r="D100" s="16"/>
      <c r="E100" s="17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5"/>
    </row>
    <row r="101" ht="12.75" customHeight="1">
      <c r="A101" s="5"/>
      <c r="B101" s="16"/>
      <c r="C101" s="16"/>
      <c r="D101" s="16"/>
      <c r="E101" s="17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5"/>
    </row>
    <row r="102" ht="12.75" customHeight="1">
      <c r="A102" s="5"/>
      <c r="B102" s="16"/>
      <c r="C102" s="16"/>
      <c r="D102" s="16"/>
      <c r="E102" s="17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5"/>
    </row>
    <row r="103" ht="12.75" customHeight="1">
      <c r="A103" s="5"/>
      <c r="B103" s="16"/>
      <c r="C103" s="16"/>
      <c r="D103" s="16"/>
      <c r="E103" s="17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5"/>
    </row>
    <row r="104" ht="12.75" customHeight="1">
      <c r="A104" s="5"/>
      <c r="B104" s="16"/>
      <c r="C104" s="16"/>
      <c r="D104" s="16"/>
      <c r="E104" s="17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5"/>
    </row>
    <row r="105" ht="12.75" customHeight="1">
      <c r="A105" s="5"/>
      <c r="B105" s="16"/>
      <c r="C105" s="16"/>
      <c r="D105" s="16"/>
      <c r="E105" s="17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5"/>
    </row>
    <row r="106" ht="12.75" customHeight="1">
      <c r="A106" s="5"/>
      <c r="B106" s="16"/>
      <c r="C106" s="16"/>
      <c r="D106" s="16"/>
      <c r="E106" s="17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5"/>
    </row>
    <row r="107" ht="12.75" customHeight="1">
      <c r="A107" s="5"/>
      <c r="B107" s="16"/>
      <c r="C107" s="16"/>
      <c r="D107" s="16"/>
      <c r="E107" s="17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5"/>
    </row>
    <row r="108" ht="12.75" customHeight="1">
      <c r="A108" s="5"/>
      <c r="B108" s="16"/>
      <c r="C108" s="16"/>
      <c r="D108" s="16"/>
      <c r="E108" s="17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5"/>
    </row>
    <row r="109" ht="12.75" customHeight="1">
      <c r="A109" s="5"/>
      <c r="B109" s="16"/>
      <c r="C109" s="16"/>
      <c r="D109" s="16"/>
      <c r="E109" s="17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5"/>
    </row>
    <row r="110" ht="12.75" customHeight="1">
      <c r="A110" s="5"/>
      <c r="B110" s="16"/>
      <c r="C110" s="16"/>
      <c r="D110" s="16"/>
      <c r="E110" s="17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5"/>
    </row>
    <row r="111" ht="12.75" customHeight="1">
      <c r="A111" s="5"/>
      <c r="B111" s="16"/>
      <c r="C111" s="16"/>
      <c r="D111" s="16"/>
      <c r="E111" s="17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5"/>
    </row>
    <row r="112" ht="12.75" customHeight="1">
      <c r="A112" s="5"/>
      <c r="B112" s="16"/>
      <c r="C112" s="16"/>
      <c r="D112" s="16"/>
      <c r="E112" s="17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5"/>
    </row>
    <row r="113" ht="12.75" customHeight="1">
      <c r="A113" s="5"/>
      <c r="B113" s="16"/>
      <c r="C113" s="16"/>
      <c r="D113" s="16"/>
      <c r="E113" s="17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5"/>
    </row>
    <row r="114" ht="12.75" customHeight="1">
      <c r="A114" s="5"/>
      <c r="B114" s="16"/>
      <c r="C114" s="16"/>
      <c r="D114" s="16"/>
      <c r="E114" s="17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5"/>
    </row>
    <row r="115" ht="12.75" customHeight="1">
      <c r="A115" s="5"/>
      <c r="B115" s="16"/>
      <c r="C115" s="16"/>
      <c r="D115" s="16"/>
      <c r="E115" s="17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5"/>
    </row>
    <row r="116" ht="12.75" customHeight="1">
      <c r="A116" s="5"/>
      <c r="B116" s="16"/>
      <c r="C116" s="16"/>
      <c r="D116" s="16"/>
      <c r="E116" s="17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5"/>
    </row>
    <row r="117" ht="12.75" customHeight="1">
      <c r="A117" s="5"/>
      <c r="B117" s="16"/>
      <c r="C117" s="16"/>
      <c r="D117" s="16"/>
      <c r="E117" s="17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5"/>
    </row>
    <row r="118" ht="12.75" customHeight="1">
      <c r="A118" s="5"/>
      <c r="B118" s="16"/>
      <c r="C118" s="16"/>
      <c r="D118" s="16"/>
      <c r="E118" s="17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5"/>
    </row>
    <row r="119" ht="12.75" customHeight="1">
      <c r="A119" s="5"/>
      <c r="B119" s="16"/>
      <c r="C119" s="16"/>
      <c r="D119" s="16"/>
      <c r="E119" s="17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5"/>
    </row>
    <row r="120" ht="12.75" customHeight="1">
      <c r="A120" s="5"/>
      <c r="B120" s="16"/>
      <c r="C120" s="16"/>
      <c r="D120" s="16"/>
      <c r="E120" s="17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5"/>
    </row>
    <row r="121" ht="12.75" customHeight="1">
      <c r="A121" s="5"/>
      <c r="B121" s="16"/>
      <c r="C121" s="16"/>
      <c r="D121" s="16"/>
      <c r="E121" s="17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5"/>
    </row>
    <row r="122" ht="12.75" customHeight="1">
      <c r="A122" s="5"/>
      <c r="B122" s="16"/>
      <c r="C122" s="16"/>
      <c r="D122" s="16"/>
      <c r="E122" s="17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5"/>
    </row>
    <row r="123" ht="12.75" customHeight="1">
      <c r="A123" s="5"/>
      <c r="B123" s="16"/>
      <c r="C123" s="16"/>
      <c r="D123" s="16"/>
      <c r="E123" s="17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5"/>
    </row>
    <row r="124" ht="12.75" customHeight="1">
      <c r="A124" s="5"/>
      <c r="B124" s="16"/>
      <c r="C124" s="16"/>
      <c r="D124" s="16"/>
      <c r="E124" s="17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5"/>
    </row>
    <row r="125" ht="12.75" customHeight="1">
      <c r="A125" s="5"/>
      <c r="B125" s="16"/>
      <c r="C125" s="16"/>
      <c r="D125" s="16"/>
      <c r="E125" s="17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5"/>
    </row>
    <row r="126" ht="12.75" customHeight="1">
      <c r="A126" s="5"/>
      <c r="B126" s="16"/>
      <c r="C126" s="16"/>
      <c r="D126" s="16"/>
      <c r="E126" s="17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5"/>
    </row>
    <row r="127" ht="12.75" customHeight="1">
      <c r="A127" s="5"/>
      <c r="B127" s="16"/>
      <c r="C127" s="16"/>
      <c r="D127" s="16"/>
      <c r="E127" s="17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5"/>
    </row>
    <row r="128" ht="12.75" customHeight="1">
      <c r="A128" s="5"/>
      <c r="B128" s="16"/>
      <c r="C128" s="16"/>
      <c r="D128" s="16"/>
      <c r="E128" s="17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5"/>
    </row>
    <row r="129" ht="12.75" customHeight="1">
      <c r="A129" s="5"/>
      <c r="B129" s="16"/>
      <c r="C129" s="16"/>
      <c r="D129" s="16"/>
      <c r="E129" s="17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5"/>
    </row>
    <row r="130" ht="12.75" customHeight="1">
      <c r="A130" s="5"/>
      <c r="B130" s="16"/>
      <c r="C130" s="16"/>
      <c r="D130" s="16"/>
      <c r="E130" s="17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5"/>
    </row>
    <row r="131" ht="12.75" customHeight="1">
      <c r="A131" s="5"/>
      <c r="B131" s="16"/>
      <c r="C131" s="16"/>
      <c r="D131" s="16"/>
      <c r="E131" s="17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5"/>
    </row>
    <row r="132" ht="12.75" customHeight="1">
      <c r="A132" s="5"/>
      <c r="B132" s="16"/>
      <c r="C132" s="16"/>
      <c r="D132" s="16"/>
      <c r="E132" s="17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5"/>
    </row>
    <row r="133" ht="12.75" customHeight="1">
      <c r="A133" s="5"/>
      <c r="B133" s="16"/>
      <c r="C133" s="16"/>
      <c r="D133" s="16"/>
      <c r="E133" s="17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5"/>
    </row>
    <row r="134" ht="12.75" customHeight="1">
      <c r="A134" s="5"/>
      <c r="B134" s="16"/>
      <c r="C134" s="16"/>
      <c r="D134" s="16"/>
      <c r="E134" s="17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5"/>
    </row>
    <row r="135" ht="12.75" customHeight="1">
      <c r="A135" s="5"/>
      <c r="B135" s="16"/>
      <c r="C135" s="16"/>
      <c r="D135" s="16"/>
      <c r="E135" s="17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5"/>
    </row>
    <row r="136" ht="12.75" customHeight="1">
      <c r="A136" s="5"/>
      <c r="B136" s="16"/>
      <c r="C136" s="16"/>
      <c r="D136" s="16"/>
      <c r="E136" s="17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5"/>
    </row>
    <row r="137" ht="12.75" customHeight="1">
      <c r="A137" s="5"/>
      <c r="B137" s="16"/>
      <c r="C137" s="16"/>
      <c r="D137" s="16"/>
      <c r="E137" s="17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5"/>
    </row>
    <row r="138" ht="12.75" customHeight="1">
      <c r="A138" s="5"/>
      <c r="B138" s="16"/>
      <c r="C138" s="16"/>
      <c r="D138" s="16"/>
      <c r="E138" s="17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5"/>
    </row>
    <row r="139" ht="12.75" customHeight="1">
      <c r="A139" s="5"/>
      <c r="B139" s="16"/>
      <c r="C139" s="16"/>
      <c r="D139" s="16"/>
      <c r="E139" s="17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5"/>
    </row>
    <row r="140" ht="12.75" customHeight="1">
      <c r="A140" s="5"/>
      <c r="B140" s="16"/>
      <c r="C140" s="16"/>
      <c r="D140" s="16"/>
      <c r="E140" s="17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5"/>
    </row>
    <row r="141" ht="12.75" customHeight="1">
      <c r="A141" s="5"/>
      <c r="B141" s="16"/>
      <c r="C141" s="16"/>
      <c r="D141" s="16"/>
      <c r="E141" s="17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5"/>
    </row>
    <row r="142" ht="12.75" customHeight="1">
      <c r="A142" s="5"/>
      <c r="B142" s="16"/>
      <c r="C142" s="16"/>
      <c r="D142" s="16"/>
      <c r="E142" s="17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5"/>
    </row>
    <row r="143" ht="12.75" customHeight="1">
      <c r="A143" s="5"/>
      <c r="B143" s="16"/>
      <c r="C143" s="16"/>
      <c r="D143" s="16"/>
      <c r="E143" s="17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5"/>
    </row>
    <row r="144" ht="12.75" customHeight="1">
      <c r="A144" s="5"/>
      <c r="B144" s="16"/>
      <c r="C144" s="16"/>
      <c r="D144" s="16"/>
      <c r="E144" s="17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5"/>
    </row>
    <row r="145" ht="12.75" customHeight="1">
      <c r="A145" s="5"/>
      <c r="B145" s="16"/>
      <c r="C145" s="16"/>
      <c r="D145" s="16"/>
      <c r="E145" s="17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5"/>
    </row>
    <row r="146" ht="12.75" customHeight="1">
      <c r="A146" s="5"/>
      <c r="B146" s="16"/>
      <c r="C146" s="16"/>
      <c r="D146" s="16"/>
      <c r="E146" s="17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5"/>
    </row>
    <row r="147" ht="12.75" customHeight="1">
      <c r="A147" s="5"/>
      <c r="B147" s="16"/>
      <c r="C147" s="16"/>
      <c r="D147" s="16"/>
      <c r="E147" s="17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5"/>
    </row>
    <row r="148" ht="12.75" customHeight="1">
      <c r="A148" s="5"/>
      <c r="B148" s="16"/>
      <c r="C148" s="16"/>
      <c r="D148" s="16"/>
      <c r="E148" s="17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5"/>
    </row>
    <row r="149" ht="12.75" customHeight="1">
      <c r="A149" s="5"/>
      <c r="B149" s="16"/>
      <c r="C149" s="16"/>
      <c r="D149" s="16"/>
      <c r="E149" s="17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5"/>
    </row>
    <row r="150" ht="12.75" customHeight="1">
      <c r="A150" s="5"/>
      <c r="B150" s="16"/>
      <c r="C150" s="16"/>
      <c r="D150" s="16"/>
      <c r="E150" s="17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5"/>
    </row>
    <row r="151" ht="12.75" customHeight="1">
      <c r="A151" s="5"/>
      <c r="B151" s="16"/>
      <c r="C151" s="16"/>
      <c r="D151" s="16"/>
      <c r="E151" s="17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5"/>
    </row>
    <row r="152" ht="12.75" customHeight="1">
      <c r="A152" s="5"/>
      <c r="B152" s="16"/>
      <c r="C152" s="16"/>
      <c r="D152" s="16"/>
      <c r="E152" s="17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5"/>
    </row>
    <row r="153" ht="12.75" customHeight="1">
      <c r="A153" s="5"/>
      <c r="B153" s="16"/>
      <c r="C153" s="16"/>
      <c r="D153" s="16"/>
      <c r="E153" s="17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5"/>
    </row>
    <row r="154" ht="12.75" customHeight="1">
      <c r="A154" s="5"/>
      <c r="B154" s="16"/>
      <c r="C154" s="16"/>
      <c r="D154" s="16"/>
      <c r="E154" s="17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5"/>
    </row>
    <row r="155" ht="12.75" customHeight="1">
      <c r="A155" s="5"/>
      <c r="B155" s="16"/>
      <c r="C155" s="16"/>
      <c r="D155" s="16"/>
      <c r="E155" s="17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5"/>
    </row>
    <row r="156" ht="12.75" customHeight="1">
      <c r="A156" s="5"/>
      <c r="B156" s="16"/>
      <c r="C156" s="16"/>
      <c r="D156" s="16"/>
      <c r="E156" s="17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5"/>
    </row>
    <row r="157" ht="12.75" customHeight="1">
      <c r="A157" s="5"/>
      <c r="B157" s="16"/>
      <c r="C157" s="16"/>
      <c r="D157" s="16"/>
      <c r="E157" s="17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5"/>
    </row>
    <row r="158" ht="12.75" customHeight="1">
      <c r="A158" s="5"/>
      <c r="B158" s="16"/>
      <c r="C158" s="16"/>
      <c r="D158" s="16"/>
      <c r="E158" s="17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5"/>
    </row>
    <row r="159" ht="12.75" customHeight="1">
      <c r="A159" s="5"/>
      <c r="B159" s="16"/>
      <c r="C159" s="16"/>
      <c r="D159" s="16"/>
      <c r="E159" s="17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5"/>
    </row>
    <row r="160" ht="12.75" customHeight="1">
      <c r="A160" s="5"/>
      <c r="B160" s="16"/>
      <c r="C160" s="16"/>
      <c r="D160" s="16"/>
      <c r="E160" s="17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5"/>
    </row>
    <row r="161" ht="12.75" customHeight="1">
      <c r="A161" s="5"/>
      <c r="B161" s="16"/>
      <c r="C161" s="16"/>
      <c r="D161" s="16"/>
      <c r="E161" s="17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5"/>
    </row>
    <row r="162" ht="12.75" customHeight="1">
      <c r="A162" s="5"/>
      <c r="B162" s="16"/>
      <c r="C162" s="16"/>
      <c r="D162" s="16"/>
      <c r="E162" s="17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5"/>
    </row>
    <row r="163" ht="12.75" customHeight="1">
      <c r="A163" s="5"/>
      <c r="B163" s="16"/>
      <c r="C163" s="16"/>
      <c r="D163" s="16"/>
      <c r="E163" s="17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5"/>
    </row>
    <row r="164" ht="12.75" customHeight="1">
      <c r="A164" s="5"/>
      <c r="B164" s="16"/>
      <c r="C164" s="16"/>
      <c r="D164" s="16"/>
      <c r="E164" s="17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5"/>
    </row>
    <row r="165" ht="12.75" customHeight="1">
      <c r="A165" s="5"/>
      <c r="B165" s="16"/>
      <c r="C165" s="16"/>
      <c r="D165" s="16"/>
      <c r="E165" s="17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5"/>
    </row>
    <row r="166" ht="12.75" customHeight="1">
      <c r="A166" s="5"/>
      <c r="B166" s="16"/>
      <c r="C166" s="16"/>
      <c r="D166" s="16"/>
      <c r="E166" s="17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5"/>
    </row>
    <row r="167" ht="12.75" customHeight="1">
      <c r="A167" s="5"/>
      <c r="B167" s="16"/>
      <c r="C167" s="16"/>
      <c r="D167" s="16"/>
      <c r="E167" s="17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5"/>
    </row>
    <row r="168" ht="12.75" customHeight="1">
      <c r="A168" s="5"/>
      <c r="B168" s="16"/>
      <c r="C168" s="16"/>
      <c r="D168" s="16"/>
      <c r="E168" s="17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5"/>
    </row>
    <row r="169" ht="12.75" customHeight="1">
      <c r="A169" s="5"/>
      <c r="B169" s="16"/>
      <c r="C169" s="16"/>
      <c r="D169" s="16"/>
      <c r="E169" s="17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5"/>
    </row>
    <row r="170" ht="12.75" customHeight="1">
      <c r="A170" s="5"/>
      <c r="B170" s="16"/>
      <c r="C170" s="16"/>
      <c r="D170" s="16"/>
      <c r="E170" s="17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5"/>
    </row>
    <row r="171" ht="12.75" customHeight="1">
      <c r="A171" s="5"/>
      <c r="B171" s="16"/>
      <c r="C171" s="16"/>
      <c r="D171" s="16"/>
      <c r="E171" s="17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5"/>
    </row>
    <row r="172" ht="12.75" customHeight="1">
      <c r="A172" s="5"/>
      <c r="B172" s="16"/>
      <c r="C172" s="16"/>
      <c r="D172" s="16"/>
      <c r="E172" s="17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5"/>
    </row>
    <row r="173" ht="12.75" customHeight="1">
      <c r="A173" s="5"/>
      <c r="B173" s="16"/>
      <c r="C173" s="16"/>
      <c r="D173" s="16"/>
      <c r="E173" s="17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5"/>
    </row>
    <row r="174" ht="12.75" customHeight="1">
      <c r="A174" s="5"/>
      <c r="B174" s="16"/>
      <c r="C174" s="16"/>
      <c r="D174" s="16"/>
      <c r="E174" s="17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5"/>
    </row>
    <row r="175" ht="12.75" customHeight="1">
      <c r="A175" s="5"/>
      <c r="B175" s="16"/>
      <c r="C175" s="16"/>
      <c r="D175" s="16"/>
      <c r="E175" s="17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5"/>
    </row>
    <row r="176" ht="12.75" customHeight="1">
      <c r="A176" s="5"/>
      <c r="B176" s="16"/>
      <c r="C176" s="16"/>
      <c r="D176" s="16"/>
      <c r="E176" s="17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5"/>
    </row>
    <row r="177" ht="12.75" customHeight="1">
      <c r="A177" s="5"/>
      <c r="B177" s="16"/>
      <c r="C177" s="16"/>
      <c r="D177" s="16"/>
      <c r="E177" s="17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5"/>
    </row>
    <row r="178" ht="12.75" customHeight="1">
      <c r="A178" s="5"/>
      <c r="B178" s="16"/>
      <c r="C178" s="16"/>
      <c r="D178" s="16"/>
      <c r="E178" s="17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5"/>
    </row>
    <row r="179" ht="12.75" customHeight="1">
      <c r="A179" s="5"/>
      <c r="B179" s="16"/>
      <c r="C179" s="16"/>
      <c r="D179" s="16"/>
      <c r="E179" s="17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5"/>
    </row>
    <row r="180" ht="12.75" customHeight="1">
      <c r="A180" s="5"/>
      <c r="B180" s="16"/>
      <c r="C180" s="16"/>
      <c r="D180" s="16"/>
      <c r="E180" s="17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5"/>
    </row>
    <row r="181" ht="12.75" customHeight="1">
      <c r="A181" s="5"/>
      <c r="B181" s="16"/>
      <c r="C181" s="16"/>
      <c r="D181" s="16"/>
      <c r="E181" s="17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5"/>
    </row>
    <row r="182" ht="12.75" customHeight="1">
      <c r="A182" s="5"/>
      <c r="B182" s="16"/>
      <c r="C182" s="16"/>
      <c r="D182" s="16"/>
      <c r="E182" s="17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5"/>
    </row>
    <row r="183" ht="12.75" customHeight="1">
      <c r="A183" s="5"/>
      <c r="B183" s="16"/>
      <c r="C183" s="16"/>
      <c r="D183" s="16"/>
      <c r="E183" s="17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5"/>
    </row>
    <row r="184" ht="12.75" customHeight="1">
      <c r="A184" s="5"/>
      <c r="B184" s="16"/>
      <c r="C184" s="16"/>
      <c r="D184" s="16"/>
      <c r="E184" s="17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5"/>
    </row>
    <row r="185" ht="12.75" customHeight="1">
      <c r="A185" s="5"/>
      <c r="B185" s="16"/>
      <c r="C185" s="16"/>
      <c r="D185" s="16"/>
      <c r="E185" s="17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5"/>
    </row>
    <row r="186" ht="12.75" customHeight="1">
      <c r="A186" s="5"/>
      <c r="B186" s="16"/>
      <c r="C186" s="16"/>
      <c r="D186" s="16"/>
      <c r="E186" s="17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5"/>
    </row>
    <row r="187" ht="12.75" customHeight="1">
      <c r="A187" s="5"/>
      <c r="B187" s="16"/>
      <c r="C187" s="16"/>
      <c r="D187" s="16"/>
      <c r="E187" s="17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5"/>
    </row>
    <row r="188" ht="12.75" customHeight="1">
      <c r="A188" s="5"/>
      <c r="B188" s="16"/>
      <c r="C188" s="16"/>
      <c r="D188" s="16"/>
      <c r="E188" s="17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5"/>
    </row>
    <row r="189" ht="12.75" customHeight="1">
      <c r="A189" s="5"/>
      <c r="B189" s="16"/>
      <c r="C189" s="16"/>
      <c r="D189" s="16"/>
      <c r="E189" s="17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5"/>
    </row>
    <row r="190" ht="12.75" customHeight="1">
      <c r="A190" s="5"/>
      <c r="B190" s="16"/>
      <c r="C190" s="16"/>
      <c r="D190" s="16"/>
      <c r="E190" s="17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5"/>
    </row>
    <row r="191" ht="12.75" customHeight="1">
      <c r="A191" s="5"/>
      <c r="B191" s="16"/>
      <c r="C191" s="16"/>
      <c r="D191" s="16"/>
      <c r="E191" s="17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5"/>
    </row>
    <row r="192" ht="12.75" customHeight="1">
      <c r="A192" s="5"/>
      <c r="B192" s="16"/>
      <c r="C192" s="16"/>
      <c r="D192" s="16"/>
      <c r="E192" s="17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5"/>
    </row>
    <row r="193" ht="12.75" customHeight="1">
      <c r="A193" s="5"/>
      <c r="B193" s="16"/>
      <c r="C193" s="16"/>
      <c r="D193" s="16"/>
      <c r="E193" s="17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5"/>
    </row>
    <row r="194" ht="12.75" customHeight="1">
      <c r="A194" s="5"/>
      <c r="B194" s="16"/>
      <c r="C194" s="16"/>
      <c r="D194" s="16"/>
      <c r="E194" s="17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5"/>
    </row>
    <row r="195" ht="12.75" customHeight="1">
      <c r="A195" s="5"/>
      <c r="B195" s="16"/>
      <c r="C195" s="16"/>
      <c r="D195" s="16"/>
      <c r="E195" s="17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5"/>
    </row>
    <row r="196" ht="12.75" customHeight="1">
      <c r="A196" s="5"/>
      <c r="B196" s="16"/>
      <c r="C196" s="16"/>
      <c r="D196" s="16"/>
      <c r="E196" s="17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5"/>
    </row>
    <row r="197" ht="12.75" customHeight="1">
      <c r="A197" s="5"/>
      <c r="B197" s="16"/>
      <c r="C197" s="16"/>
      <c r="D197" s="16"/>
      <c r="E197" s="17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5"/>
    </row>
    <row r="198" ht="12.75" customHeight="1">
      <c r="A198" s="5"/>
      <c r="B198" s="16"/>
      <c r="C198" s="16"/>
      <c r="D198" s="16"/>
      <c r="E198" s="17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5"/>
    </row>
    <row r="199" ht="12.75" customHeight="1">
      <c r="A199" s="5"/>
      <c r="B199" s="16"/>
      <c r="C199" s="16"/>
      <c r="D199" s="16"/>
      <c r="E199" s="17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5"/>
    </row>
    <row r="200" ht="12.75" customHeight="1">
      <c r="A200" s="5"/>
      <c r="B200" s="16"/>
      <c r="C200" s="16"/>
      <c r="D200" s="16"/>
      <c r="E200" s="17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5"/>
    </row>
    <row r="201" ht="12.75" customHeight="1">
      <c r="A201" s="5"/>
      <c r="B201" s="16"/>
      <c r="C201" s="16"/>
      <c r="D201" s="16"/>
      <c r="E201" s="17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5"/>
    </row>
    <row r="202" ht="12.75" customHeight="1">
      <c r="A202" s="5"/>
      <c r="B202" s="16"/>
      <c r="C202" s="16"/>
      <c r="D202" s="16"/>
      <c r="E202" s="17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5"/>
    </row>
    <row r="203" ht="12.75" customHeight="1">
      <c r="A203" s="5"/>
      <c r="B203" s="16"/>
      <c r="C203" s="16"/>
      <c r="D203" s="16"/>
      <c r="E203" s="17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5"/>
    </row>
    <row r="204" ht="12.75" customHeight="1">
      <c r="A204" s="5"/>
      <c r="B204" s="16"/>
      <c r="C204" s="16"/>
      <c r="D204" s="16"/>
      <c r="E204" s="17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5"/>
    </row>
    <row r="205" ht="12.75" customHeight="1">
      <c r="A205" s="5"/>
      <c r="B205" s="16"/>
      <c r="C205" s="16"/>
      <c r="D205" s="16"/>
      <c r="E205" s="17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5"/>
    </row>
    <row r="206" ht="12.75" customHeight="1">
      <c r="A206" s="5"/>
      <c r="B206" s="16"/>
      <c r="C206" s="16"/>
      <c r="D206" s="16"/>
      <c r="E206" s="17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5"/>
    </row>
    <row r="207" ht="12.75" customHeight="1">
      <c r="A207" s="5"/>
      <c r="B207" s="16"/>
      <c r="C207" s="16"/>
      <c r="D207" s="16"/>
      <c r="E207" s="17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5"/>
    </row>
    <row r="208" ht="12.75" customHeight="1">
      <c r="A208" s="5"/>
      <c r="B208" s="16"/>
      <c r="C208" s="16"/>
      <c r="D208" s="16"/>
      <c r="E208" s="17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5"/>
    </row>
    <row r="209" ht="12.75" customHeight="1">
      <c r="A209" s="5"/>
      <c r="B209" s="16"/>
      <c r="C209" s="16"/>
      <c r="D209" s="16"/>
      <c r="E209" s="17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5"/>
    </row>
    <row r="210" ht="12.75" customHeight="1">
      <c r="A210" s="5"/>
      <c r="B210" s="16"/>
      <c r="C210" s="16"/>
      <c r="D210" s="16"/>
      <c r="E210" s="17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5"/>
    </row>
    <row r="211" ht="12.75" customHeight="1">
      <c r="A211" s="5"/>
      <c r="B211" s="16"/>
      <c r="C211" s="16"/>
      <c r="D211" s="16"/>
      <c r="E211" s="17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5"/>
    </row>
    <row r="212" ht="12.75" customHeight="1">
      <c r="A212" s="5"/>
      <c r="B212" s="16"/>
      <c r="C212" s="16"/>
      <c r="D212" s="16"/>
      <c r="E212" s="17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5"/>
    </row>
    <row r="213" ht="12.75" customHeight="1">
      <c r="A213" s="5"/>
      <c r="B213" s="16"/>
      <c r="C213" s="16"/>
      <c r="D213" s="16"/>
      <c r="E213" s="17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5"/>
    </row>
    <row r="214" ht="12.75" customHeight="1">
      <c r="A214" s="5"/>
      <c r="B214" s="16"/>
      <c r="C214" s="16"/>
      <c r="D214" s="16"/>
      <c r="E214" s="17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5"/>
    </row>
    <row r="215" ht="12.75" customHeight="1">
      <c r="A215" s="5"/>
      <c r="B215" s="16"/>
      <c r="C215" s="16"/>
      <c r="D215" s="16"/>
      <c r="E215" s="17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5"/>
    </row>
    <row r="216" ht="12.75" customHeight="1">
      <c r="A216" s="5"/>
      <c r="B216" s="16"/>
      <c r="C216" s="16"/>
      <c r="D216" s="16"/>
      <c r="E216" s="17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5"/>
    </row>
    <row r="217" ht="12.75" customHeight="1">
      <c r="A217" s="5"/>
      <c r="B217" s="16"/>
      <c r="C217" s="16"/>
      <c r="D217" s="16"/>
      <c r="E217" s="17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5"/>
    </row>
    <row r="218" ht="12.75" customHeight="1">
      <c r="A218" s="5"/>
      <c r="B218" s="16"/>
      <c r="C218" s="16"/>
      <c r="D218" s="16"/>
      <c r="E218" s="17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5"/>
    </row>
    <row r="219" ht="12.75" customHeight="1">
      <c r="A219" s="5"/>
      <c r="B219" s="16"/>
      <c r="C219" s="16"/>
      <c r="D219" s="16"/>
      <c r="E219" s="17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5"/>
    </row>
    <row r="220" ht="12.75" customHeight="1">
      <c r="A220" s="5"/>
      <c r="B220" s="16"/>
      <c r="C220" s="16"/>
      <c r="D220" s="16"/>
      <c r="E220" s="17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5"/>
    </row>
    <row r="221" ht="12.75" customHeight="1">
      <c r="A221" s="5"/>
      <c r="B221" s="16"/>
      <c r="C221" s="16"/>
      <c r="D221" s="16"/>
      <c r="E221" s="17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5"/>
    </row>
    <row r="222" ht="12.75" customHeight="1">
      <c r="A222" s="5"/>
      <c r="B222" s="16"/>
      <c r="C222" s="16"/>
      <c r="D222" s="16"/>
      <c r="E222" s="17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5"/>
    </row>
    <row r="223" ht="12.75" customHeight="1">
      <c r="A223" s="5"/>
      <c r="B223" s="16"/>
      <c r="C223" s="16"/>
      <c r="D223" s="16"/>
      <c r="E223" s="17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5"/>
    </row>
    <row r="224" ht="12.75" customHeight="1">
      <c r="A224" s="5"/>
      <c r="B224" s="16"/>
      <c r="C224" s="16"/>
      <c r="D224" s="16"/>
      <c r="E224" s="17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5"/>
    </row>
    <row r="225" ht="12.75" customHeight="1">
      <c r="A225" s="5"/>
      <c r="B225" s="16"/>
      <c r="C225" s="16"/>
      <c r="D225" s="16"/>
      <c r="E225" s="17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5"/>
    </row>
    <row r="226" ht="12.75" customHeight="1">
      <c r="A226" s="5"/>
      <c r="B226" s="16"/>
      <c r="C226" s="16"/>
      <c r="D226" s="16"/>
      <c r="E226" s="17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5"/>
    </row>
    <row r="227" ht="12.75" customHeight="1">
      <c r="A227" s="5"/>
      <c r="B227" s="16"/>
      <c r="C227" s="16"/>
      <c r="D227" s="16"/>
      <c r="E227" s="17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5"/>
    </row>
    <row r="228" ht="12.75" customHeight="1">
      <c r="A228" s="5"/>
      <c r="B228" s="16"/>
      <c r="C228" s="16"/>
      <c r="D228" s="16"/>
      <c r="E228" s="17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5"/>
    </row>
    <row r="229" ht="12.75" customHeight="1">
      <c r="A229" s="5"/>
      <c r="B229" s="16"/>
      <c r="C229" s="16"/>
      <c r="D229" s="16"/>
      <c r="E229" s="17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5"/>
    </row>
    <row r="230" ht="12.75" customHeight="1">
      <c r="A230" s="5"/>
      <c r="B230" s="16"/>
      <c r="C230" s="16"/>
      <c r="D230" s="16"/>
      <c r="E230" s="17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5"/>
    </row>
    <row r="231" ht="12.75" customHeight="1">
      <c r="A231" s="5"/>
      <c r="B231" s="16"/>
      <c r="C231" s="16"/>
      <c r="D231" s="16"/>
      <c r="E231" s="17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5"/>
    </row>
    <row r="232" ht="12.75" customHeight="1">
      <c r="A232" s="5"/>
      <c r="B232" s="16"/>
      <c r="C232" s="16"/>
      <c r="D232" s="16"/>
      <c r="E232" s="17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5"/>
    </row>
    <row r="233" ht="12.75" customHeight="1">
      <c r="A233" s="5"/>
      <c r="B233" s="16"/>
      <c r="C233" s="16"/>
      <c r="D233" s="16"/>
      <c r="E233" s="17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5"/>
    </row>
    <row r="234" ht="12.75" customHeight="1">
      <c r="A234" s="5"/>
      <c r="B234" s="16"/>
      <c r="C234" s="16"/>
      <c r="D234" s="16"/>
      <c r="E234" s="17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5"/>
    </row>
    <row r="235" ht="12.75" customHeight="1">
      <c r="A235" s="5"/>
      <c r="B235" s="16"/>
      <c r="C235" s="16"/>
      <c r="D235" s="16"/>
      <c r="E235" s="17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5"/>
    </row>
    <row r="236" ht="12.75" customHeight="1">
      <c r="A236" s="5"/>
      <c r="B236" s="16"/>
      <c r="C236" s="16"/>
      <c r="D236" s="16"/>
      <c r="E236" s="17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5"/>
    </row>
    <row r="237" ht="12.75" customHeight="1">
      <c r="A237" s="5"/>
      <c r="B237" s="16"/>
      <c r="C237" s="16"/>
      <c r="D237" s="16"/>
      <c r="E237" s="17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5"/>
    </row>
    <row r="238" ht="12.75" customHeight="1">
      <c r="A238" s="5"/>
      <c r="B238" s="16"/>
      <c r="C238" s="16"/>
      <c r="D238" s="16"/>
      <c r="E238" s="17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5"/>
    </row>
    <row r="239" ht="12.75" customHeight="1">
      <c r="A239" s="5"/>
      <c r="B239" s="16"/>
      <c r="C239" s="16"/>
      <c r="D239" s="16"/>
      <c r="E239" s="17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5"/>
    </row>
    <row r="240" ht="12.75" customHeight="1">
      <c r="A240" s="5"/>
      <c r="B240" s="16"/>
      <c r="C240" s="16"/>
      <c r="D240" s="16"/>
      <c r="E240" s="17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5"/>
    </row>
    <row r="241" ht="12.75" customHeight="1">
      <c r="A241" s="5"/>
      <c r="B241" s="16"/>
      <c r="C241" s="16"/>
      <c r="D241" s="16"/>
      <c r="E241" s="17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5"/>
    </row>
    <row r="242" ht="12.75" customHeight="1">
      <c r="A242" s="5"/>
      <c r="B242" s="16"/>
      <c r="C242" s="16"/>
      <c r="D242" s="16"/>
      <c r="E242" s="17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5"/>
    </row>
    <row r="243" ht="12.75" customHeight="1">
      <c r="A243" s="5"/>
      <c r="B243" s="16"/>
      <c r="C243" s="16"/>
      <c r="D243" s="16"/>
      <c r="E243" s="17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5"/>
    </row>
    <row r="244" ht="12.75" customHeight="1">
      <c r="A244" s="5"/>
      <c r="B244" s="16"/>
      <c r="C244" s="16"/>
      <c r="D244" s="16"/>
      <c r="E244" s="17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5"/>
    </row>
    <row r="245" ht="12.75" customHeight="1">
      <c r="A245" s="5"/>
      <c r="B245" s="16"/>
      <c r="C245" s="16"/>
      <c r="D245" s="16"/>
      <c r="E245" s="17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5"/>
    </row>
    <row r="246" ht="12.75" customHeight="1">
      <c r="A246" s="5"/>
      <c r="B246" s="16"/>
      <c r="C246" s="16"/>
      <c r="D246" s="16"/>
      <c r="E246" s="17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5"/>
    </row>
    <row r="247" ht="12.75" customHeight="1">
      <c r="A247" s="5"/>
      <c r="B247" s="16"/>
      <c r="C247" s="16"/>
      <c r="D247" s="16"/>
      <c r="E247" s="17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5"/>
    </row>
    <row r="248" ht="12.75" customHeight="1">
      <c r="A248" s="5"/>
      <c r="B248" s="16"/>
      <c r="C248" s="16"/>
      <c r="D248" s="16"/>
      <c r="E248" s="17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5"/>
    </row>
    <row r="249" ht="12.75" customHeight="1">
      <c r="A249" s="5"/>
      <c r="B249" s="16"/>
      <c r="C249" s="16"/>
      <c r="D249" s="16"/>
      <c r="E249" s="17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5"/>
    </row>
    <row r="250" ht="12.75" customHeight="1">
      <c r="A250" s="5"/>
      <c r="B250" s="16"/>
      <c r="C250" s="16"/>
      <c r="D250" s="16"/>
      <c r="E250" s="17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5"/>
    </row>
    <row r="251" ht="12.75" customHeight="1">
      <c r="A251" s="5"/>
      <c r="B251" s="16"/>
      <c r="C251" s="16"/>
      <c r="D251" s="16"/>
      <c r="E251" s="17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5"/>
    </row>
    <row r="252" ht="12.75" customHeight="1">
      <c r="A252" s="5"/>
      <c r="B252" s="16"/>
      <c r="C252" s="16"/>
      <c r="D252" s="16"/>
      <c r="E252" s="17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5"/>
    </row>
    <row r="253" ht="12.75" customHeight="1">
      <c r="A253" s="5"/>
      <c r="B253" s="16"/>
      <c r="C253" s="16"/>
      <c r="D253" s="16"/>
      <c r="E253" s="17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5"/>
    </row>
    <row r="254" ht="12.75" customHeight="1">
      <c r="A254" s="5"/>
      <c r="B254" s="16"/>
      <c r="C254" s="16"/>
      <c r="D254" s="16"/>
      <c r="E254" s="17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5"/>
    </row>
    <row r="255" ht="12.75" customHeight="1">
      <c r="A255" s="5"/>
      <c r="B255" s="16"/>
      <c r="C255" s="16"/>
      <c r="D255" s="16"/>
      <c r="E255" s="17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5"/>
    </row>
    <row r="256" ht="12.75" customHeight="1">
      <c r="A256" s="5"/>
      <c r="B256" s="16"/>
      <c r="C256" s="16"/>
      <c r="D256" s="16"/>
      <c r="E256" s="17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5"/>
    </row>
    <row r="257" ht="12.75" customHeight="1">
      <c r="A257" s="5"/>
      <c r="B257" s="16"/>
      <c r="C257" s="16"/>
      <c r="D257" s="16"/>
      <c r="E257" s="17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5"/>
    </row>
    <row r="258" ht="12.75" customHeight="1">
      <c r="A258" s="5"/>
      <c r="B258" s="16"/>
      <c r="C258" s="16"/>
      <c r="D258" s="16"/>
      <c r="E258" s="17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5"/>
    </row>
    <row r="259" ht="12.75" customHeight="1">
      <c r="A259" s="5"/>
      <c r="B259" s="16"/>
      <c r="C259" s="16"/>
      <c r="D259" s="16"/>
      <c r="E259" s="17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5"/>
    </row>
    <row r="260" ht="12.75" customHeight="1">
      <c r="A260" s="5"/>
      <c r="B260" s="16"/>
      <c r="C260" s="16"/>
      <c r="D260" s="16"/>
      <c r="E260" s="17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5"/>
    </row>
    <row r="261" ht="12.75" customHeight="1">
      <c r="A261" s="5"/>
      <c r="B261" s="16"/>
      <c r="C261" s="16"/>
      <c r="D261" s="16"/>
      <c r="E261" s="17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5"/>
    </row>
    <row r="262" ht="12.75" customHeight="1">
      <c r="A262" s="5"/>
      <c r="B262" s="16"/>
      <c r="C262" s="16"/>
      <c r="D262" s="16"/>
      <c r="E262" s="17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5"/>
    </row>
    <row r="263" ht="12.75" customHeight="1">
      <c r="A263" s="5"/>
      <c r="B263" s="16"/>
      <c r="C263" s="16"/>
      <c r="D263" s="16"/>
      <c r="E263" s="17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5"/>
    </row>
    <row r="264" ht="12.75" customHeight="1">
      <c r="A264" s="5"/>
      <c r="B264" s="16"/>
      <c r="C264" s="16"/>
      <c r="D264" s="16"/>
      <c r="E264" s="17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5"/>
    </row>
    <row r="265" ht="12.75" customHeight="1">
      <c r="A265" s="5"/>
      <c r="B265" s="16"/>
      <c r="C265" s="16"/>
      <c r="D265" s="16"/>
      <c r="E265" s="17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5"/>
    </row>
    <row r="266" ht="12.75" customHeight="1">
      <c r="A266" s="5"/>
      <c r="B266" s="16"/>
      <c r="C266" s="16"/>
      <c r="D266" s="16"/>
      <c r="E266" s="17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5"/>
    </row>
    <row r="267" ht="12.75" customHeight="1">
      <c r="A267" s="5"/>
      <c r="B267" s="16"/>
      <c r="C267" s="16"/>
      <c r="D267" s="16"/>
      <c r="E267" s="17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5"/>
    </row>
    <row r="268" ht="12.75" customHeight="1">
      <c r="A268" s="5"/>
      <c r="B268" s="16"/>
      <c r="C268" s="16"/>
      <c r="D268" s="16"/>
      <c r="E268" s="17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5"/>
    </row>
    <row r="269" ht="12.75" customHeight="1">
      <c r="A269" s="5"/>
      <c r="B269" s="16"/>
      <c r="C269" s="16"/>
      <c r="D269" s="16"/>
      <c r="E269" s="17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5"/>
    </row>
    <row r="270" ht="12.75" customHeight="1">
      <c r="A270" s="5"/>
      <c r="B270" s="16"/>
      <c r="C270" s="16"/>
      <c r="D270" s="16"/>
      <c r="E270" s="17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5"/>
    </row>
    <row r="271" ht="12.75" customHeight="1">
      <c r="A271" s="5"/>
      <c r="B271" s="16"/>
      <c r="C271" s="16"/>
      <c r="D271" s="16"/>
      <c r="E271" s="17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5"/>
    </row>
    <row r="272" ht="12.75" customHeight="1">
      <c r="A272" s="5"/>
      <c r="B272" s="16"/>
      <c r="C272" s="16"/>
      <c r="D272" s="16"/>
      <c r="E272" s="17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5"/>
    </row>
    <row r="273" ht="12.75" customHeight="1">
      <c r="A273" s="5"/>
      <c r="B273" s="16"/>
      <c r="C273" s="16"/>
      <c r="D273" s="16"/>
      <c r="E273" s="17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5"/>
    </row>
    <row r="274" ht="12.75" customHeight="1">
      <c r="A274" s="5"/>
      <c r="B274" s="16"/>
      <c r="C274" s="16"/>
      <c r="D274" s="16"/>
      <c r="E274" s="17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5"/>
    </row>
    <row r="275" ht="12.75" customHeight="1">
      <c r="A275" s="5"/>
      <c r="B275" s="16"/>
      <c r="C275" s="16"/>
      <c r="D275" s="16"/>
      <c r="E275" s="17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5"/>
    </row>
    <row r="276" ht="12.75" customHeight="1">
      <c r="A276" s="5"/>
      <c r="B276" s="16"/>
      <c r="C276" s="16"/>
      <c r="D276" s="16"/>
      <c r="E276" s="17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5"/>
    </row>
    <row r="277" ht="12.75" customHeight="1">
      <c r="A277" s="5"/>
      <c r="B277" s="16"/>
      <c r="C277" s="16"/>
      <c r="D277" s="16"/>
      <c r="E277" s="17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5"/>
    </row>
    <row r="278" ht="12.75" customHeight="1">
      <c r="A278" s="5"/>
      <c r="B278" s="16"/>
      <c r="C278" s="16"/>
      <c r="D278" s="16"/>
      <c r="E278" s="17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5"/>
    </row>
    <row r="279" ht="12.75" customHeight="1">
      <c r="A279" s="5"/>
      <c r="B279" s="16"/>
      <c r="C279" s="16"/>
      <c r="D279" s="16"/>
      <c r="E279" s="17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5"/>
    </row>
    <row r="280" ht="12.75" customHeight="1">
      <c r="A280" s="5"/>
      <c r="B280" s="16"/>
      <c r="C280" s="16"/>
      <c r="D280" s="16"/>
      <c r="E280" s="17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5"/>
    </row>
    <row r="281" ht="12.75" customHeight="1">
      <c r="A281" s="5"/>
      <c r="B281" s="16"/>
      <c r="C281" s="16"/>
      <c r="D281" s="16"/>
      <c r="E281" s="17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5"/>
    </row>
    <row r="282" ht="12.75" customHeight="1">
      <c r="A282" s="5"/>
      <c r="B282" s="16"/>
      <c r="C282" s="16"/>
      <c r="D282" s="16"/>
      <c r="E282" s="17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5"/>
    </row>
    <row r="283" ht="12.75" customHeight="1">
      <c r="A283" s="5"/>
      <c r="B283" s="16"/>
      <c r="C283" s="16"/>
      <c r="D283" s="16"/>
      <c r="E283" s="17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5"/>
    </row>
    <row r="284" ht="12.75" customHeight="1">
      <c r="A284" s="5"/>
      <c r="B284" s="16"/>
      <c r="C284" s="16"/>
      <c r="D284" s="16"/>
      <c r="E284" s="17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5"/>
    </row>
    <row r="285" ht="12.75" customHeight="1">
      <c r="A285" s="5"/>
      <c r="B285" s="16"/>
      <c r="C285" s="16"/>
      <c r="D285" s="16"/>
      <c r="E285" s="17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5"/>
    </row>
    <row r="286" ht="12.75" customHeight="1">
      <c r="A286" s="5"/>
      <c r="B286" s="16"/>
      <c r="C286" s="16"/>
      <c r="D286" s="16"/>
      <c r="E286" s="17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5"/>
    </row>
    <row r="287" ht="12.75" customHeight="1">
      <c r="A287" s="5"/>
      <c r="B287" s="16"/>
      <c r="C287" s="16"/>
      <c r="D287" s="16"/>
      <c r="E287" s="17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5"/>
    </row>
    <row r="288" ht="12.75" customHeight="1">
      <c r="A288" s="5"/>
      <c r="B288" s="16"/>
      <c r="C288" s="16"/>
      <c r="D288" s="16"/>
      <c r="E288" s="17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5"/>
    </row>
    <row r="289" ht="12.75" customHeight="1">
      <c r="A289" s="5"/>
      <c r="B289" s="16"/>
      <c r="C289" s="16"/>
      <c r="D289" s="16"/>
      <c r="E289" s="17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5"/>
    </row>
    <row r="290" ht="12.75" customHeight="1">
      <c r="A290" s="5"/>
      <c r="B290" s="16"/>
      <c r="C290" s="16"/>
      <c r="D290" s="16"/>
      <c r="E290" s="17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5"/>
    </row>
    <row r="291" ht="12.75" customHeight="1">
      <c r="A291" s="5"/>
      <c r="B291" s="16"/>
      <c r="C291" s="16"/>
      <c r="D291" s="16"/>
      <c r="E291" s="17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5"/>
    </row>
    <row r="292" ht="12.75" customHeight="1">
      <c r="A292" s="5"/>
      <c r="B292" s="16"/>
      <c r="C292" s="16"/>
      <c r="D292" s="16"/>
      <c r="E292" s="17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5"/>
    </row>
    <row r="293" ht="12.75" customHeight="1">
      <c r="A293" s="5"/>
      <c r="B293" s="16"/>
      <c r="C293" s="16"/>
      <c r="D293" s="16"/>
      <c r="E293" s="17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5"/>
    </row>
    <row r="294" ht="12.75" customHeight="1">
      <c r="A294" s="5"/>
      <c r="B294" s="16"/>
      <c r="C294" s="16"/>
      <c r="D294" s="16"/>
      <c r="E294" s="17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5"/>
    </row>
    <row r="295" ht="12.75" customHeight="1">
      <c r="A295" s="5"/>
      <c r="B295" s="16"/>
      <c r="C295" s="16"/>
      <c r="D295" s="16"/>
      <c r="E295" s="17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5"/>
    </row>
    <row r="296" ht="12.75" customHeight="1">
      <c r="A296" s="5"/>
      <c r="B296" s="16"/>
      <c r="C296" s="16"/>
      <c r="D296" s="16"/>
      <c r="E296" s="17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5"/>
    </row>
    <row r="297" ht="12.75" customHeight="1">
      <c r="A297" s="5"/>
      <c r="B297" s="16"/>
      <c r="C297" s="16"/>
      <c r="D297" s="16"/>
      <c r="E297" s="17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5"/>
    </row>
    <row r="298" ht="12.75" customHeight="1">
      <c r="A298" s="5"/>
      <c r="B298" s="16"/>
      <c r="C298" s="16"/>
      <c r="D298" s="16"/>
      <c r="E298" s="17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5"/>
    </row>
    <row r="299" ht="12.75" customHeight="1">
      <c r="A299" s="5"/>
      <c r="B299" s="16"/>
      <c r="C299" s="16"/>
      <c r="D299" s="16"/>
      <c r="E299" s="17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5"/>
    </row>
    <row r="300" ht="12.75" customHeight="1">
      <c r="A300" s="5"/>
      <c r="B300" s="16"/>
      <c r="C300" s="16"/>
      <c r="D300" s="16"/>
      <c r="E300" s="17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5"/>
    </row>
    <row r="301" ht="12.75" customHeight="1">
      <c r="A301" s="5"/>
      <c r="B301" s="16"/>
      <c r="C301" s="16"/>
      <c r="D301" s="16"/>
      <c r="E301" s="17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5"/>
    </row>
    <row r="302" ht="12.75" customHeight="1">
      <c r="A302" s="5"/>
      <c r="B302" s="16"/>
      <c r="C302" s="16"/>
      <c r="D302" s="16"/>
      <c r="E302" s="17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5"/>
    </row>
    <row r="303" ht="12.75" customHeight="1">
      <c r="A303" s="5"/>
      <c r="B303" s="16"/>
      <c r="C303" s="16"/>
      <c r="D303" s="16"/>
      <c r="E303" s="17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5"/>
    </row>
    <row r="304" ht="12.75" customHeight="1">
      <c r="A304" s="5"/>
      <c r="B304" s="16"/>
      <c r="C304" s="16"/>
      <c r="D304" s="16"/>
      <c r="E304" s="17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5"/>
    </row>
    <row r="305" ht="12.75" customHeight="1">
      <c r="A305" s="5"/>
      <c r="B305" s="16"/>
      <c r="C305" s="16"/>
      <c r="D305" s="16"/>
      <c r="E305" s="17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5"/>
    </row>
    <row r="306" ht="12.75" customHeight="1">
      <c r="A306" s="5"/>
      <c r="B306" s="16"/>
      <c r="C306" s="16"/>
      <c r="D306" s="16"/>
      <c r="E306" s="17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5"/>
    </row>
    <row r="307" ht="12.75" customHeight="1">
      <c r="A307" s="5"/>
      <c r="B307" s="16"/>
      <c r="C307" s="16"/>
      <c r="D307" s="16"/>
      <c r="E307" s="17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5"/>
    </row>
    <row r="308" ht="12.75" customHeight="1">
      <c r="A308" s="5"/>
      <c r="B308" s="16"/>
      <c r="C308" s="16"/>
      <c r="D308" s="16"/>
      <c r="E308" s="17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5"/>
    </row>
    <row r="309" ht="12.75" customHeight="1">
      <c r="A309" s="5"/>
      <c r="B309" s="16"/>
      <c r="C309" s="16"/>
      <c r="D309" s="16"/>
      <c r="E309" s="17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5"/>
    </row>
    <row r="310" ht="12.75" customHeight="1">
      <c r="A310" s="5"/>
      <c r="B310" s="16"/>
      <c r="C310" s="16"/>
      <c r="D310" s="16"/>
      <c r="E310" s="17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5"/>
    </row>
    <row r="311" ht="12.75" customHeight="1">
      <c r="A311" s="5"/>
      <c r="B311" s="16"/>
      <c r="C311" s="16"/>
      <c r="D311" s="16"/>
      <c r="E311" s="17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5"/>
    </row>
    <row r="312" ht="12.75" customHeight="1">
      <c r="A312" s="5"/>
      <c r="B312" s="16"/>
      <c r="C312" s="16"/>
      <c r="D312" s="16"/>
      <c r="E312" s="17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5"/>
    </row>
    <row r="313" ht="12.75" customHeight="1">
      <c r="A313" s="5"/>
      <c r="B313" s="16"/>
      <c r="C313" s="16"/>
      <c r="D313" s="16"/>
      <c r="E313" s="17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5"/>
    </row>
    <row r="314" ht="12.75" customHeight="1">
      <c r="A314" s="5"/>
      <c r="B314" s="16"/>
      <c r="C314" s="16"/>
      <c r="D314" s="16"/>
      <c r="E314" s="17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5"/>
    </row>
    <row r="315" ht="12.75" customHeight="1">
      <c r="A315" s="5"/>
      <c r="B315" s="16"/>
      <c r="C315" s="16"/>
      <c r="D315" s="16"/>
      <c r="E315" s="17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5"/>
    </row>
    <row r="316" ht="12.75" customHeight="1">
      <c r="A316" s="5"/>
      <c r="B316" s="16"/>
      <c r="C316" s="16"/>
      <c r="D316" s="16"/>
      <c r="E316" s="17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5"/>
    </row>
    <row r="317" ht="12.75" customHeight="1">
      <c r="A317" s="5"/>
      <c r="B317" s="16"/>
      <c r="C317" s="16"/>
      <c r="D317" s="16"/>
      <c r="E317" s="17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5"/>
    </row>
    <row r="318" ht="12.75" customHeight="1">
      <c r="A318" s="5"/>
      <c r="B318" s="16"/>
      <c r="C318" s="16"/>
      <c r="D318" s="16"/>
      <c r="E318" s="17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5"/>
    </row>
    <row r="319" ht="12.75" customHeight="1">
      <c r="A319" s="5"/>
      <c r="B319" s="16"/>
      <c r="C319" s="16"/>
      <c r="D319" s="16"/>
      <c r="E319" s="17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5"/>
    </row>
    <row r="320" ht="12.75" customHeight="1">
      <c r="A320" s="5"/>
      <c r="B320" s="16"/>
      <c r="C320" s="16"/>
      <c r="D320" s="16"/>
      <c r="E320" s="17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5"/>
    </row>
    <row r="321" ht="12.75" customHeight="1">
      <c r="A321" s="5"/>
      <c r="B321" s="16"/>
      <c r="C321" s="16"/>
      <c r="D321" s="16"/>
      <c r="E321" s="17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5"/>
    </row>
    <row r="322" ht="12.75" customHeight="1">
      <c r="A322" s="5"/>
      <c r="B322" s="16"/>
      <c r="C322" s="16"/>
      <c r="D322" s="16"/>
      <c r="E322" s="17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5"/>
    </row>
    <row r="323" ht="12.75" customHeight="1">
      <c r="A323" s="5"/>
      <c r="B323" s="16"/>
      <c r="C323" s="16"/>
      <c r="D323" s="16"/>
      <c r="E323" s="17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5"/>
    </row>
    <row r="324" ht="12.75" customHeight="1">
      <c r="A324" s="5"/>
      <c r="B324" s="16"/>
      <c r="C324" s="16"/>
      <c r="D324" s="16"/>
      <c r="E324" s="17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5"/>
    </row>
    <row r="325" ht="12.75" customHeight="1">
      <c r="A325" s="5"/>
      <c r="B325" s="16"/>
      <c r="C325" s="16"/>
      <c r="D325" s="16"/>
      <c r="E325" s="17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5"/>
    </row>
    <row r="326" ht="12.75" customHeight="1">
      <c r="A326" s="5"/>
      <c r="B326" s="16"/>
      <c r="C326" s="16"/>
      <c r="D326" s="16"/>
      <c r="E326" s="17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5"/>
    </row>
    <row r="327" ht="12.75" customHeight="1">
      <c r="A327" s="5"/>
      <c r="B327" s="16"/>
      <c r="C327" s="16"/>
      <c r="D327" s="16"/>
      <c r="E327" s="17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5"/>
    </row>
    <row r="328" ht="12.75" customHeight="1">
      <c r="A328" s="5"/>
      <c r="B328" s="16"/>
      <c r="C328" s="16"/>
      <c r="D328" s="16"/>
      <c r="E328" s="17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5"/>
    </row>
    <row r="329" ht="12.75" customHeight="1">
      <c r="A329" s="5"/>
      <c r="B329" s="16"/>
      <c r="C329" s="16"/>
      <c r="D329" s="16"/>
      <c r="E329" s="17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5"/>
    </row>
    <row r="330" ht="12.75" customHeight="1">
      <c r="A330" s="5"/>
      <c r="B330" s="16"/>
      <c r="C330" s="16"/>
      <c r="D330" s="16"/>
      <c r="E330" s="17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5"/>
    </row>
    <row r="331" ht="12.75" customHeight="1">
      <c r="A331" s="5"/>
      <c r="B331" s="16"/>
      <c r="C331" s="16"/>
      <c r="D331" s="16"/>
      <c r="E331" s="17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5"/>
    </row>
    <row r="332" ht="12.75" customHeight="1">
      <c r="A332" s="5"/>
      <c r="B332" s="16"/>
      <c r="C332" s="16"/>
      <c r="D332" s="16"/>
      <c r="E332" s="17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5"/>
    </row>
    <row r="333" ht="12.75" customHeight="1">
      <c r="A333" s="5"/>
      <c r="B333" s="16"/>
      <c r="C333" s="16"/>
      <c r="D333" s="16"/>
      <c r="E333" s="17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5"/>
    </row>
    <row r="334" ht="12.75" customHeight="1">
      <c r="A334" s="5"/>
      <c r="B334" s="16"/>
      <c r="C334" s="16"/>
      <c r="D334" s="16"/>
      <c r="E334" s="17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5"/>
    </row>
    <row r="335" ht="12.75" customHeight="1">
      <c r="A335" s="5"/>
      <c r="B335" s="16"/>
      <c r="C335" s="16"/>
      <c r="D335" s="16"/>
      <c r="E335" s="17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5"/>
    </row>
    <row r="336" ht="12.75" customHeight="1">
      <c r="A336" s="5"/>
      <c r="B336" s="16"/>
      <c r="C336" s="16"/>
      <c r="D336" s="16"/>
      <c r="E336" s="17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5"/>
    </row>
    <row r="337" ht="12.75" customHeight="1">
      <c r="A337" s="5"/>
      <c r="B337" s="16"/>
      <c r="C337" s="16"/>
      <c r="D337" s="16"/>
      <c r="E337" s="17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5"/>
    </row>
    <row r="338" ht="12.75" customHeight="1">
      <c r="A338" s="5"/>
      <c r="B338" s="16"/>
      <c r="C338" s="16"/>
      <c r="D338" s="16"/>
      <c r="E338" s="17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5"/>
    </row>
    <row r="339" ht="12.75" customHeight="1">
      <c r="A339" s="5"/>
      <c r="B339" s="16"/>
      <c r="C339" s="16"/>
      <c r="D339" s="16"/>
      <c r="E339" s="17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5"/>
    </row>
    <row r="340" ht="12.75" customHeight="1">
      <c r="A340" s="5"/>
      <c r="B340" s="16"/>
      <c r="C340" s="16"/>
      <c r="D340" s="16"/>
      <c r="E340" s="17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5"/>
    </row>
    <row r="341" ht="12.75" customHeight="1">
      <c r="A341" s="5"/>
      <c r="B341" s="16"/>
      <c r="C341" s="16"/>
      <c r="D341" s="16"/>
      <c r="E341" s="17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5"/>
    </row>
    <row r="342" ht="12.75" customHeight="1">
      <c r="A342" s="5"/>
      <c r="B342" s="16"/>
      <c r="C342" s="16"/>
      <c r="D342" s="16"/>
      <c r="E342" s="17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5"/>
    </row>
    <row r="343" ht="12.75" customHeight="1">
      <c r="A343" s="5"/>
      <c r="B343" s="16"/>
      <c r="C343" s="16"/>
      <c r="D343" s="16"/>
      <c r="E343" s="17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5"/>
    </row>
    <row r="344" ht="12.75" customHeight="1">
      <c r="A344" s="5"/>
      <c r="B344" s="16"/>
      <c r="C344" s="16"/>
      <c r="D344" s="16"/>
      <c r="E344" s="17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5"/>
    </row>
    <row r="345" ht="12.75" customHeight="1">
      <c r="A345" s="5"/>
      <c r="B345" s="16"/>
      <c r="C345" s="16"/>
      <c r="D345" s="16"/>
      <c r="E345" s="17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5"/>
    </row>
    <row r="346" ht="12.75" customHeight="1">
      <c r="A346" s="5"/>
      <c r="B346" s="16"/>
      <c r="C346" s="16"/>
      <c r="D346" s="16"/>
      <c r="E346" s="17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5"/>
    </row>
    <row r="347" ht="12.75" customHeight="1">
      <c r="A347" s="5"/>
      <c r="B347" s="16"/>
      <c r="C347" s="16"/>
      <c r="D347" s="16"/>
      <c r="E347" s="17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5"/>
    </row>
    <row r="348" ht="12.75" customHeight="1">
      <c r="A348" s="5"/>
      <c r="B348" s="16"/>
      <c r="C348" s="16"/>
      <c r="D348" s="16"/>
      <c r="E348" s="17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5"/>
    </row>
    <row r="349" ht="12.75" customHeight="1">
      <c r="A349" s="5"/>
      <c r="B349" s="16"/>
      <c r="C349" s="16"/>
      <c r="D349" s="16"/>
      <c r="E349" s="17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5"/>
    </row>
    <row r="350" ht="12.75" customHeight="1">
      <c r="A350" s="5"/>
      <c r="B350" s="16"/>
      <c r="C350" s="16"/>
      <c r="D350" s="16"/>
      <c r="E350" s="17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5"/>
    </row>
    <row r="351" ht="12.75" customHeight="1">
      <c r="A351" s="5"/>
      <c r="B351" s="16"/>
      <c r="C351" s="16"/>
      <c r="D351" s="16"/>
      <c r="E351" s="17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5"/>
    </row>
    <row r="352" ht="12.75" customHeight="1">
      <c r="A352" s="5"/>
      <c r="B352" s="16"/>
      <c r="C352" s="16"/>
      <c r="D352" s="16"/>
      <c r="E352" s="17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5"/>
    </row>
    <row r="353" ht="12.75" customHeight="1">
      <c r="A353" s="5"/>
      <c r="B353" s="16"/>
      <c r="C353" s="16"/>
      <c r="D353" s="16"/>
      <c r="E353" s="17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5"/>
    </row>
    <row r="354" ht="12.75" customHeight="1">
      <c r="A354" s="5"/>
      <c r="B354" s="16"/>
      <c r="C354" s="16"/>
      <c r="D354" s="16"/>
      <c r="E354" s="17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5"/>
    </row>
    <row r="355" ht="12.75" customHeight="1">
      <c r="A355" s="5"/>
      <c r="B355" s="16"/>
      <c r="C355" s="16"/>
      <c r="D355" s="16"/>
      <c r="E355" s="17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5"/>
    </row>
    <row r="356" ht="12.75" customHeight="1">
      <c r="A356" s="5"/>
      <c r="B356" s="16"/>
      <c r="C356" s="16"/>
      <c r="D356" s="16"/>
      <c r="E356" s="17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5"/>
    </row>
    <row r="357" ht="12.75" customHeight="1">
      <c r="A357" s="5"/>
      <c r="B357" s="16"/>
      <c r="C357" s="16"/>
      <c r="D357" s="16"/>
      <c r="E357" s="17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5"/>
    </row>
    <row r="358" ht="12.75" customHeight="1">
      <c r="A358" s="5"/>
      <c r="B358" s="16"/>
      <c r="C358" s="16"/>
      <c r="D358" s="16"/>
      <c r="E358" s="17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5"/>
    </row>
    <row r="359" ht="12.75" customHeight="1">
      <c r="A359" s="5"/>
      <c r="B359" s="16"/>
      <c r="C359" s="16"/>
      <c r="D359" s="16"/>
      <c r="E359" s="17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5"/>
    </row>
    <row r="360" ht="12.75" customHeight="1">
      <c r="A360" s="5"/>
      <c r="B360" s="16"/>
      <c r="C360" s="16"/>
      <c r="D360" s="16"/>
      <c r="E360" s="17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5"/>
    </row>
    <row r="361" ht="12.75" customHeight="1">
      <c r="A361" s="5"/>
      <c r="B361" s="16"/>
      <c r="C361" s="16"/>
      <c r="D361" s="16"/>
      <c r="E361" s="17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5"/>
    </row>
    <row r="362" ht="12.75" customHeight="1">
      <c r="A362" s="5"/>
      <c r="B362" s="16"/>
      <c r="C362" s="16"/>
      <c r="D362" s="16"/>
      <c r="E362" s="17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5"/>
    </row>
    <row r="363" ht="12.75" customHeight="1">
      <c r="A363" s="5"/>
      <c r="B363" s="16"/>
      <c r="C363" s="16"/>
      <c r="D363" s="16"/>
      <c r="E363" s="17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5"/>
    </row>
    <row r="364" ht="12.75" customHeight="1">
      <c r="A364" s="5"/>
      <c r="B364" s="16"/>
      <c r="C364" s="16"/>
      <c r="D364" s="16"/>
      <c r="E364" s="17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5"/>
    </row>
    <row r="365" ht="12.75" customHeight="1">
      <c r="A365" s="5"/>
      <c r="B365" s="16"/>
      <c r="C365" s="16"/>
      <c r="D365" s="16"/>
      <c r="E365" s="17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5"/>
    </row>
    <row r="366" ht="12.75" customHeight="1">
      <c r="A366" s="5"/>
      <c r="B366" s="16"/>
      <c r="C366" s="16"/>
      <c r="D366" s="16"/>
      <c r="E366" s="17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5"/>
    </row>
    <row r="367" ht="12.75" customHeight="1">
      <c r="A367" s="5"/>
      <c r="B367" s="16"/>
      <c r="C367" s="16"/>
      <c r="D367" s="16"/>
      <c r="E367" s="17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5"/>
    </row>
    <row r="368" ht="12.75" customHeight="1">
      <c r="A368" s="5"/>
      <c r="B368" s="16"/>
      <c r="C368" s="16"/>
      <c r="D368" s="16"/>
      <c r="E368" s="17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5"/>
    </row>
    <row r="369" ht="12.75" customHeight="1">
      <c r="A369" s="5"/>
      <c r="B369" s="16"/>
      <c r="C369" s="16"/>
      <c r="D369" s="16"/>
      <c r="E369" s="17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5"/>
    </row>
    <row r="370" ht="12.75" customHeight="1">
      <c r="A370" s="5"/>
      <c r="B370" s="16"/>
      <c r="C370" s="16"/>
      <c r="D370" s="16"/>
      <c r="E370" s="17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5"/>
    </row>
    <row r="371" ht="12.75" customHeight="1">
      <c r="A371" s="5"/>
      <c r="B371" s="16"/>
      <c r="C371" s="16"/>
      <c r="D371" s="16"/>
      <c r="E371" s="17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5"/>
    </row>
    <row r="372" ht="12.75" customHeight="1">
      <c r="A372" s="5"/>
      <c r="B372" s="16"/>
      <c r="C372" s="16"/>
      <c r="D372" s="16"/>
      <c r="E372" s="17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5"/>
    </row>
    <row r="373" ht="12.75" customHeight="1">
      <c r="A373" s="5"/>
      <c r="B373" s="16"/>
      <c r="C373" s="16"/>
      <c r="D373" s="16"/>
      <c r="E373" s="17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5"/>
    </row>
    <row r="374" ht="12.75" customHeight="1">
      <c r="A374" s="5"/>
      <c r="B374" s="16"/>
      <c r="C374" s="16"/>
      <c r="D374" s="16"/>
      <c r="E374" s="17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5"/>
    </row>
    <row r="375" ht="12.75" customHeight="1">
      <c r="A375" s="5"/>
      <c r="B375" s="16"/>
      <c r="C375" s="16"/>
      <c r="D375" s="16"/>
      <c r="E375" s="17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5"/>
    </row>
    <row r="376" ht="12.75" customHeight="1">
      <c r="A376" s="5"/>
      <c r="B376" s="16"/>
      <c r="C376" s="16"/>
      <c r="D376" s="16"/>
      <c r="E376" s="17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5"/>
    </row>
    <row r="377" ht="12.75" customHeight="1">
      <c r="A377" s="5"/>
      <c r="B377" s="16"/>
      <c r="C377" s="16"/>
      <c r="D377" s="16"/>
      <c r="E377" s="17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5"/>
    </row>
    <row r="378" ht="12.75" customHeight="1">
      <c r="A378" s="5"/>
      <c r="B378" s="16"/>
      <c r="C378" s="16"/>
      <c r="D378" s="16"/>
      <c r="E378" s="17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5"/>
    </row>
    <row r="379" ht="12.75" customHeight="1">
      <c r="A379" s="5"/>
      <c r="B379" s="16"/>
      <c r="C379" s="16"/>
      <c r="D379" s="16"/>
      <c r="E379" s="17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5"/>
    </row>
    <row r="380" ht="12.75" customHeight="1">
      <c r="A380" s="5"/>
      <c r="B380" s="16"/>
      <c r="C380" s="16"/>
      <c r="D380" s="16"/>
      <c r="E380" s="17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5"/>
    </row>
    <row r="381" ht="12.75" customHeight="1">
      <c r="A381" s="5"/>
      <c r="B381" s="16"/>
      <c r="C381" s="16"/>
      <c r="D381" s="16"/>
      <c r="E381" s="17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5"/>
    </row>
    <row r="382" ht="12.75" customHeight="1">
      <c r="A382" s="5"/>
      <c r="B382" s="16"/>
      <c r="C382" s="16"/>
      <c r="D382" s="16"/>
      <c r="E382" s="17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5"/>
    </row>
    <row r="383" ht="12.75" customHeight="1">
      <c r="A383" s="5"/>
      <c r="B383" s="16"/>
      <c r="C383" s="16"/>
      <c r="D383" s="16"/>
      <c r="E383" s="17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5"/>
    </row>
    <row r="384" ht="12.75" customHeight="1">
      <c r="A384" s="5"/>
      <c r="B384" s="16"/>
      <c r="C384" s="16"/>
      <c r="D384" s="16"/>
      <c r="E384" s="17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5"/>
    </row>
    <row r="385" ht="12.75" customHeight="1">
      <c r="A385" s="5"/>
      <c r="B385" s="16"/>
      <c r="C385" s="16"/>
      <c r="D385" s="16"/>
      <c r="E385" s="17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5"/>
    </row>
    <row r="386" ht="12.75" customHeight="1">
      <c r="A386" s="5"/>
      <c r="B386" s="16"/>
      <c r="C386" s="16"/>
      <c r="D386" s="16"/>
      <c r="E386" s="17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5"/>
    </row>
    <row r="387" ht="12.75" customHeight="1">
      <c r="A387" s="5"/>
      <c r="B387" s="16"/>
      <c r="C387" s="16"/>
      <c r="D387" s="16"/>
      <c r="E387" s="17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5"/>
    </row>
    <row r="388" ht="12.75" customHeight="1">
      <c r="A388" s="5"/>
      <c r="B388" s="16"/>
      <c r="C388" s="16"/>
      <c r="D388" s="16"/>
      <c r="E388" s="17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5"/>
    </row>
    <row r="389" ht="12.75" customHeight="1">
      <c r="A389" s="5"/>
      <c r="B389" s="16"/>
      <c r="C389" s="16"/>
      <c r="D389" s="16"/>
      <c r="E389" s="17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5"/>
    </row>
    <row r="390" ht="12.75" customHeight="1">
      <c r="A390" s="5"/>
      <c r="B390" s="16"/>
      <c r="C390" s="16"/>
      <c r="D390" s="16"/>
      <c r="E390" s="17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5"/>
    </row>
    <row r="391" ht="12.75" customHeight="1">
      <c r="A391" s="5"/>
      <c r="B391" s="16"/>
      <c r="C391" s="16"/>
      <c r="D391" s="16"/>
      <c r="E391" s="17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5"/>
    </row>
    <row r="392" ht="12.75" customHeight="1">
      <c r="A392" s="5"/>
      <c r="B392" s="16"/>
      <c r="C392" s="16"/>
      <c r="D392" s="16"/>
      <c r="E392" s="17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5"/>
    </row>
    <row r="393" ht="12.75" customHeight="1">
      <c r="A393" s="5"/>
      <c r="B393" s="16"/>
      <c r="C393" s="16"/>
      <c r="D393" s="16"/>
      <c r="E393" s="17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5"/>
    </row>
    <row r="394" ht="12.75" customHeight="1">
      <c r="A394" s="5"/>
      <c r="B394" s="16"/>
      <c r="C394" s="16"/>
      <c r="D394" s="16"/>
      <c r="E394" s="17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5"/>
    </row>
    <row r="395" ht="12.75" customHeight="1">
      <c r="A395" s="5"/>
      <c r="B395" s="16"/>
      <c r="C395" s="16"/>
      <c r="D395" s="16"/>
      <c r="E395" s="17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5"/>
    </row>
    <row r="396" ht="12.75" customHeight="1">
      <c r="A396" s="5"/>
      <c r="B396" s="16"/>
      <c r="C396" s="16"/>
      <c r="D396" s="16"/>
      <c r="E396" s="17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5"/>
    </row>
    <row r="397" ht="12.75" customHeight="1">
      <c r="A397" s="5"/>
      <c r="B397" s="16"/>
      <c r="C397" s="16"/>
      <c r="D397" s="16"/>
      <c r="E397" s="17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5"/>
    </row>
    <row r="398" ht="12.75" customHeight="1">
      <c r="A398" s="5"/>
      <c r="B398" s="16"/>
      <c r="C398" s="16"/>
      <c r="D398" s="16"/>
      <c r="E398" s="17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5"/>
    </row>
    <row r="399" ht="12.75" customHeight="1">
      <c r="A399" s="5"/>
      <c r="B399" s="16"/>
      <c r="C399" s="16"/>
      <c r="D399" s="16"/>
      <c r="E399" s="17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5"/>
    </row>
    <row r="400" ht="12.75" customHeight="1">
      <c r="A400" s="5"/>
      <c r="B400" s="16"/>
      <c r="C400" s="16"/>
      <c r="D400" s="16"/>
      <c r="E400" s="17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5"/>
    </row>
    <row r="401" ht="12.75" customHeight="1">
      <c r="A401" s="5"/>
      <c r="B401" s="16"/>
      <c r="C401" s="16"/>
      <c r="D401" s="16"/>
      <c r="E401" s="17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5"/>
    </row>
    <row r="402" ht="12.75" customHeight="1">
      <c r="A402" s="5"/>
      <c r="B402" s="16"/>
      <c r="C402" s="16"/>
      <c r="D402" s="16"/>
      <c r="E402" s="17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5"/>
    </row>
    <row r="403" ht="12.75" customHeight="1">
      <c r="A403" s="5"/>
      <c r="B403" s="16"/>
      <c r="C403" s="16"/>
      <c r="D403" s="16"/>
      <c r="E403" s="17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5"/>
    </row>
    <row r="404" ht="12.75" customHeight="1">
      <c r="A404" s="5"/>
      <c r="B404" s="16"/>
      <c r="C404" s="16"/>
      <c r="D404" s="16"/>
      <c r="E404" s="17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5"/>
    </row>
    <row r="405" ht="12.75" customHeight="1">
      <c r="A405" s="5"/>
      <c r="B405" s="16"/>
      <c r="C405" s="16"/>
      <c r="D405" s="16"/>
      <c r="E405" s="17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5"/>
    </row>
    <row r="406" ht="12.75" customHeight="1">
      <c r="A406" s="5"/>
      <c r="B406" s="16"/>
      <c r="C406" s="16"/>
      <c r="D406" s="16"/>
      <c r="E406" s="17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5"/>
    </row>
    <row r="407" ht="12.75" customHeight="1">
      <c r="A407" s="5"/>
      <c r="B407" s="16"/>
      <c r="C407" s="16"/>
      <c r="D407" s="16"/>
      <c r="E407" s="17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5"/>
    </row>
    <row r="408" ht="12.75" customHeight="1">
      <c r="A408" s="5"/>
      <c r="B408" s="16"/>
      <c r="C408" s="16"/>
      <c r="D408" s="16"/>
      <c r="E408" s="17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5"/>
    </row>
    <row r="409" ht="12.75" customHeight="1">
      <c r="A409" s="5"/>
      <c r="B409" s="16"/>
      <c r="C409" s="16"/>
      <c r="D409" s="16"/>
      <c r="E409" s="17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5"/>
    </row>
    <row r="410" ht="12.75" customHeight="1">
      <c r="A410" s="5"/>
      <c r="B410" s="16"/>
      <c r="C410" s="16"/>
      <c r="D410" s="16"/>
      <c r="E410" s="17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5"/>
    </row>
    <row r="411" ht="12.75" customHeight="1">
      <c r="A411" s="5"/>
      <c r="B411" s="16"/>
      <c r="C411" s="16"/>
      <c r="D411" s="16"/>
      <c r="E411" s="17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5"/>
    </row>
    <row r="412" ht="12.75" customHeight="1">
      <c r="A412" s="5"/>
      <c r="B412" s="16"/>
      <c r="C412" s="16"/>
      <c r="D412" s="16"/>
      <c r="E412" s="17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5"/>
    </row>
    <row r="413" ht="12.75" customHeight="1">
      <c r="A413" s="5"/>
      <c r="B413" s="16"/>
      <c r="C413" s="16"/>
      <c r="D413" s="16"/>
      <c r="E413" s="17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5"/>
    </row>
    <row r="414" ht="12.75" customHeight="1">
      <c r="A414" s="5"/>
      <c r="B414" s="16"/>
      <c r="C414" s="16"/>
      <c r="D414" s="16"/>
      <c r="E414" s="17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5"/>
    </row>
    <row r="415" ht="12.75" customHeight="1">
      <c r="A415" s="5"/>
      <c r="B415" s="16"/>
      <c r="C415" s="16"/>
      <c r="D415" s="16"/>
      <c r="E415" s="17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5"/>
    </row>
    <row r="416" ht="12.75" customHeight="1">
      <c r="A416" s="5"/>
      <c r="B416" s="16"/>
      <c r="C416" s="16"/>
      <c r="D416" s="16"/>
      <c r="E416" s="17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5"/>
    </row>
    <row r="417" ht="12.75" customHeight="1">
      <c r="A417" s="5"/>
      <c r="B417" s="16"/>
      <c r="C417" s="16"/>
      <c r="D417" s="16"/>
      <c r="E417" s="17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5"/>
    </row>
    <row r="418" ht="12.75" customHeight="1">
      <c r="A418" s="5"/>
      <c r="B418" s="16"/>
      <c r="C418" s="16"/>
      <c r="D418" s="16"/>
      <c r="E418" s="17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5"/>
    </row>
    <row r="419" ht="12.75" customHeight="1">
      <c r="A419" s="5"/>
      <c r="B419" s="16"/>
      <c r="C419" s="16"/>
      <c r="D419" s="16"/>
      <c r="E419" s="17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5"/>
    </row>
    <row r="420" ht="12.75" customHeight="1">
      <c r="A420" s="5"/>
      <c r="B420" s="16"/>
      <c r="C420" s="16"/>
      <c r="D420" s="16"/>
      <c r="E420" s="17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5"/>
    </row>
    <row r="421" ht="12.75" customHeight="1">
      <c r="A421" s="5"/>
      <c r="B421" s="16"/>
      <c r="C421" s="16"/>
      <c r="D421" s="16"/>
      <c r="E421" s="17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5"/>
    </row>
    <row r="422" ht="12.75" customHeight="1">
      <c r="A422" s="5"/>
      <c r="B422" s="16"/>
      <c r="C422" s="16"/>
      <c r="D422" s="16"/>
      <c r="E422" s="17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5"/>
    </row>
    <row r="423" ht="12.75" customHeight="1">
      <c r="A423" s="5"/>
      <c r="B423" s="16"/>
      <c r="C423" s="16"/>
      <c r="D423" s="16"/>
      <c r="E423" s="17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5"/>
    </row>
    <row r="424" ht="12.75" customHeight="1">
      <c r="A424" s="5"/>
      <c r="B424" s="16"/>
      <c r="C424" s="16"/>
      <c r="D424" s="16"/>
      <c r="E424" s="17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5"/>
    </row>
    <row r="425" ht="12.75" customHeight="1">
      <c r="A425" s="5"/>
      <c r="B425" s="16"/>
      <c r="C425" s="16"/>
      <c r="D425" s="16"/>
      <c r="E425" s="17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5"/>
    </row>
    <row r="426" ht="12.75" customHeight="1">
      <c r="A426" s="5"/>
      <c r="B426" s="16"/>
      <c r="C426" s="16"/>
      <c r="D426" s="16"/>
      <c r="E426" s="17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5"/>
    </row>
    <row r="427" ht="12.75" customHeight="1">
      <c r="A427" s="5"/>
      <c r="B427" s="16"/>
      <c r="C427" s="16"/>
      <c r="D427" s="16"/>
      <c r="E427" s="17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5"/>
    </row>
    <row r="428" ht="12.75" customHeight="1">
      <c r="A428" s="5"/>
      <c r="B428" s="16"/>
      <c r="C428" s="16"/>
      <c r="D428" s="16"/>
      <c r="E428" s="17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5"/>
    </row>
    <row r="429" ht="12.75" customHeight="1">
      <c r="A429" s="5"/>
      <c r="B429" s="16"/>
      <c r="C429" s="16"/>
      <c r="D429" s="16"/>
      <c r="E429" s="17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5"/>
    </row>
    <row r="430" ht="12.75" customHeight="1">
      <c r="A430" s="5"/>
      <c r="B430" s="16"/>
      <c r="C430" s="16"/>
      <c r="D430" s="16"/>
      <c r="E430" s="17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5"/>
    </row>
    <row r="431" ht="12.75" customHeight="1">
      <c r="A431" s="5"/>
      <c r="B431" s="16"/>
      <c r="C431" s="16"/>
      <c r="D431" s="16"/>
      <c r="E431" s="17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5"/>
    </row>
    <row r="432" ht="12.75" customHeight="1">
      <c r="A432" s="5"/>
      <c r="B432" s="16"/>
      <c r="C432" s="16"/>
      <c r="D432" s="16"/>
      <c r="E432" s="17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5"/>
    </row>
    <row r="433" ht="12.75" customHeight="1">
      <c r="A433" s="5"/>
      <c r="B433" s="16"/>
      <c r="C433" s="16"/>
      <c r="D433" s="16"/>
      <c r="E433" s="17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5"/>
    </row>
    <row r="434" ht="12.75" customHeight="1">
      <c r="A434" s="5"/>
      <c r="B434" s="16"/>
      <c r="C434" s="16"/>
      <c r="D434" s="16"/>
      <c r="E434" s="17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5"/>
    </row>
    <row r="435" ht="12.75" customHeight="1">
      <c r="A435" s="5"/>
      <c r="B435" s="16"/>
      <c r="C435" s="16"/>
      <c r="D435" s="16"/>
      <c r="E435" s="17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5"/>
    </row>
    <row r="436" ht="12.75" customHeight="1">
      <c r="A436" s="5"/>
      <c r="B436" s="16"/>
      <c r="C436" s="16"/>
      <c r="D436" s="16"/>
      <c r="E436" s="17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5"/>
    </row>
    <row r="437" ht="12.75" customHeight="1">
      <c r="A437" s="5"/>
      <c r="B437" s="16"/>
      <c r="C437" s="16"/>
      <c r="D437" s="16"/>
      <c r="E437" s="17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5"/>
    </row>
    <row r="438" ht="12.75" customHeight="1">
      <c r="A438" s="5"/>
      <c r="B438" s="16"/>
      <c r="C438" s="16"/>
      <c r="D438" s="16"/>
      <c r="E438" s="17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5"/>
    </row>
    <row r="439" ht="12.75" customHeight="1">
      <c r="A439" s="5"/>
      <c r="B439" s="16"/>
      <c r="C439" s="16"/>
      <c r="D439" s="16"/>
      <c r="E439" s="17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5"/>
    </row>
    <row r="440" ht="12.75" customHeight="1">
      <c r="A440" s="5"/>
      <c r="B440" s="16"/>
      <c r="C440" s="16"/>
      <c r="D440" s="16"/>
      <c r="E440" s="17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5"/>
    </row>
    <row r="441" ht="12.75" customHeight="1">
      <c r="A441" s="5"/>
      <c r="B441" s="16"/>
      <c r="C441" s="16"/>
      <c r="D441" s="16"/>
      <c r="E441" s="17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5"/>
    </row>
    <row r="442" ht="12.75" customHeight="1">
      <c r="A442" s="5"/>
      <c r="B442" s="16"/>
      <c r="C442" s="16"/>
      <c r="D442" s="16"/>
      <c r="E442" s="17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5"/>
    </row>
    <row r="443" ht="12.75" customHeight="1">
      <c r="A443" s="5"/>
      <c r="B443" s="16"/>
      <c r="C443" s="16"/>
      <c r="D443" s="16"/>
      <c r="E443" s="17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5"/>
    </row>
    <row r="444" ht="12.75" customHeight="1">
      <c r="A444" s="5"/>
      <c r="B444" s="16"/>
      <c r="C444" s="16"/>
      <c r="D444" s="16"/>
      <c r="E444" s="17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5"/>
    </row>
    <row r="445" ht="12.75" customHeight="1">
      <c r="A445" s="5"/>
      <c r="B445" s="16"/>
      <c r="C445" s="16"/>
      <c r="D445" s="16"/>
      <c r="E445" s="17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5"/>
    </row>
    <row r="446" ht="12.75" customHeight="1">
      <c r="A446" s="5"/>
      <c r="B446" s="16"/>
      <c r="C446" s="16"/>
      <c r="D446" s="16"/>
      <c r="E446" s="17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5"/>
    </row>
    <row r="447" ht="12.75" customHeight="1">
      <c r="A447" s="5"/>
      <c r="B447" s="16"/>
      <c r="C447" s="16"/>
      <c r="D447" s="16"/>
      <c r="E447" s="17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5"/>
    </row>
    <row r="448" ht="12.75" customHeight="1">
      <c r="A448" s="5"/>
      <c r="B448" s="16"/>
      <c r="C448" s="16"/>
      <c r="D448" s="16"/>
      <c r="E448" s="17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5"/>
    </row>
    <row r="449" ht="12.75" customHeight="1">
      <c r="A449" s="5"/>
      <c r="B449" s="16"/>
      <c r="C449" s="16"/>
      <c r="D449" s="16"/>
      <c r="E449" s="17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5"/>
    </row>
    <row r="450" ht="12.75" customHeight="1">
      <c r="A450" s="5"/>
      <c r="B450" s="16"/>
      <c r="C450" s="16"/>
      <c r="D450" s="16"/>
      <c r="E450" s="17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5"/>
    </row>
    <row r="451" ht="12.75" customHeight="1">
      <c r="A451" s="5"/>
      <c r="B451" s="16"/>
      <c r="C451" s="16"/>
      <c r="D451" s="16"/>
      <c r="E451" s="17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5"/>
    </row>
    <row r="452" ht="12.75" customHeight="1">
      <c r="A452" s="5"/>
      <c r="B452" s="16"/>
      <c r="C452" s="16"/>
      <c r="D452" s="16"/>
      <c r="E452" s="17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5"/>
    </row>
    <row r="453" ht="12.75" customHeight="1">
      <c r="A453" s="5"/>
      <c r="B453" s="16"/>
      <c r="C453" s="16"/>
      <c r="D453" s="16"/>
      <c r="E453" s="17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5"/>
    </row>
    <row r="454" ht="12.75" customHeight="1">
      <c r="A454" s="5"/>
      <c r="B454" s="16"/>
      <c r="C454" s="16"/>
      <c r="D454" s="16"/>
      <c r="E454" s="17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5"/>
    </row>
    <row r="455" ht="12.75" customHeight="1">
      <c r="A455" s="5"/>
      <c r="B455" s="16"/>
      <c r="C455" s="16"/>
      <c r="D455" s="16"/>
      <c r="E455" s="17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5"/>
    </row>
    <row r="456" ht="12.75" customHeight="1">
      <c r="A456" s="5"/>
      <c r="B456" s="16"/>
      <c r="C456" s="16"/>
      <c r="D456" s="16"/>
      <c r="E456" s="17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5"/>
    </row>
    <row r="457" ht="12.75" customHeight="1">
      <c r="A457" s="5"/>
      <c r="B457" s="16"/>
      <c r="C457" s="16"/>
      <c r="D457" s="16"/>
      <c r="E457" s="17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5"/>
    </row>
    <row r="458" ht="12.75" customHeight="1">
      <c r="A458" s="5"/>
      <c r="B458" s="16"/>
      <c r="C458" s="16"/>
      <c r="D458" s="16"/>
      <c r="E458" s="17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5"/>
    </row>
    <row r="459" ht="12.75" customHeight="1">
      <c r="A459" s="5"/>
      <c r="B459" s="16"/>
      <c r="C459" s="16"/>
      <c r="D459" s="16"/>
      <c r="E459" s="17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5"/>
    </row>
    <row r="460" ht="12.75" customHeight="1">
      <c r="A460" s="5"/>
      <c r="B460" s="16"/>
      <c r="C460" s="16"/>
      <c r="D460" s="16"/>
      <c r="E460" s="17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5"/>
    </row>
    <row r="461" ht="12.75" customHeight="1">
      <c r="A461" s="5"/>
      <c r="B461" s="16"/>
      <c r="C461" s="16"/>
      <c r="D461" s="16"/>
      <c r="E461" s="17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5"/>
    </row>
    <row r="462" ht="12.75" customHeight="1">
      <c r="A462" s="5"/>
      <c r="B462" s="16"/>
      <c r="C462" s="16"/>
      <c r="D462" s="16"/>
      <c r="E462" s="17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5"/>
    </row>
    <row r="463" ht="12.75" customHeight="1">
      <c r="A463" s="5"/>
      <c r="B463" s="16"/>
      <c r="C463" s="16"/>
      <c r="D463" s="16"/>
      <c r="E463" s="17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5"/>
    </row>
    <row r="464" ht="12.75" customHeight="1">
      <c r="A464" s="5"/>
      <c r="B464" s="16"/>
      <c r="C464" s="16"/>
      <c r="D464" s="16"/>
      <c r="E464" s="17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5"/>
    </row>
    <row r="465" ht="12.75" customHeight="1">
      <c r="A465" s="5"/>
      <c r="B465" s="16"/>
      <c r="C465" s="16"/>
      <c r="D465" s="16"/>
      <c r="E465" s="17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5"/>
    </row>
    <row r="466" ht="12.75" customHeight="1">
      <c r="A466" s="5"/>
      <c r="B466" s="16"/>
      <c r="C466" s="16"/>
      <c r="D466" s="16"/>
      <c r="E466" s="17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5"/>
    </row>
    <row r="467" ht="12.75" customHeight="1">
      <c r="A467" s="5"/>
      <c r="B467" s="16"/>
      <c r="C467" s="16"/>
      <c r="D467" s="16"/>
      <c r="E467" s="17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5"/>
    </row>
    <row r="468" ht="12.75" customHeight="1">
      <c r="A468" s="5"/>
      <c r="B468" s="16"/>
      <c r="C468" s="16"/>
      <c r="D468" s="16"/>
      <c r="E468" s="17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5"/>
    </row>
    <row r="469" ht="12.75" customHeight="1">
      <c r="A469" s="5"/>
      <c r="B469" s="16"/>
      <c r="C469" s="16"/>
      <c r="D469" s="16"/>
      <c r="E469" s="17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5"/>
    </row>
    <row r="470" ht="12.75" customHeight="1">
      <c r="A470" s="5"/>
      <c r="B470" s="16"/>
      <c r="C470" s="16"/>
      <c r="D470" s="16"/>
      <c r="E470" s="17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5"/>
    </row>
    <row r="471" ht="12.75" customHeight="1">
      <c r="A471" s="5"/>
      <c r="B471" s="16"/>
      <c r="C471" s="16"/>
      <c r="D471" s="16"/>
      <c r="E471" s="17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5"/>
    </row>
    <row r="472" ht="12.75" customHeight="1">
      <c r="A472" s="5"/>
      <c r="B472" s="16"/>
      <c r="C472" s="16"/>
      <c r="D472" s="16"/>
      <c r="E472" s="17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5"/>
    </row>
    <row r="473" ht="12.75" customHeight="1">
      <c r="A473" s="5"/>
      <c r="B473" s="16"/>
      <c r="C473" s="16"/>
      <c r="D473" s="16"/>
      <c r="E473" s="17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5"/>
    </row>
    <row r="474" ht="12.75" customHeight="1">
      <c r="A474" s="5"/>
      <c r="B474" s="16"/>
      <c r="C474" s="16"/>
      <c r="D474" s="16"/>
      <c r="E474" s="17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5"/>
    </row>
    <row r="475" ht="12.75" customHeight="1">
      <c r="A475" s="5"/>
      <c r="B475" s="16"/>
      <c r="C475" s="16"/>
      <c r="D475" s="16"/>
      <c r="E475" s="17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5"/>
    </row>
    <row r="476" ht="12.75" customHeight="1">
      <c r="A476" s="5"/>
      <c r="B476" s="16"/>
      <c r="C476" s="16"/>
      <c r="D476" s="16"/>
      <c r="E476" s="17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5"/>
    </row>
    <row r="477" ht="12.75" customHeight="1">
      <c r="A477" s="5"/>
      <c r="B477" s="16"/>
      <c r="C477" s="16"/>
      <c r="D477" s="16"/>
      <c r="E477" s="17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5"/>
    </row>
    <row r="478" ht="12.75" customHeight="1">
      <c r="A478" s="5"/>
      <c r="B478" s="16"/>
      <c r="C478" s="16"/>
      <c r="D478" s="16"/>
      <c r="E478" s="17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5"/>
    </row>
    <row r="479" ht="12.75" customHeight="1">
      <c r="A479" s="5"/>
      <c r="B479" s="16"/>
      <c r="C479" s="16"/>
      <c r="D479" s="16"/>
      <c r="E479" s="17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5"/>
    </row>
    <row r="480" ht="12.75" customHeight="1">
      <c r="A480" s="5"/>
      <c r="B480" s="16"/>
      <c r="C480" s="16"/>
      <c r="D480" s="16"/>
      <c r="E480" s="17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5"/>
    </row>
    <row r="481" ht="12.75" customHeight="1">
      <c r="A481" s="5"/>
      <c r="B481" s="16"/>
      <c r="C481" s="16"/>
      <c r="D481" s="16"/>
      <c r="E481" s="17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5"/>
    </row>
    <row r="482" ht="12.75" customHeight="1">
      <c r="A482" s="5"/>
      <c r="B482" s="16"/>
      <c r="C482" s="16"/>
      <c r="D482" s="16"/>
      <c r="E482" s="17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5"/>
    </row>
    <row r="483" ht="12.75" customHeight="1">
      <c r="A483" s="5"/>
      <c r="B483" s="16"/>
      <c r="C483" s="16"/>
      <c r="D483" s="16"/>
      <c r="E483" s="17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5"/>
    </row>
    <row r="484" ht="12.75" customHeight="1">
      <c r="A484" s="5"/>
      <c r="B484" s="16"/>
      <c r="C484" s="16"/>
      <c r="D484" s="16"/>
      <c r="E484" s="17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5"/>
    </row>
    <row r="485" ht="12.75" customHeight="1">
      <c r="A485" s="5"/>
      <c r="B485" s="16"/>
      <c r="C485" s="16"/>
      <c r="D485" s="16"/>
      <c r="E485" s="17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5"/>
    </row>
    <row r="486" ht="12.75" customHeight="1">
      <c r="A486" s="5"/>
      <c r="B486" s="16"/>
      <c r="C486" s="16"/>
      <c r="D486" s="16"/>
      <c r="E486" s="17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5"/>
    </row>
    <row r="487" ht="12.75" customHeight="1">
      <c r="A487" s="5"/>
      <c r="B487" s="16"/>
      <c r="C487" s="16"/>
      <c r="D487" s="16"/>
      <c r="E487" s="17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5"/>
    </row>
    <row r="488" ht="12.75" customHeight="1">
      <c r="A488" s="5"/>
      <c r="B488" s="16"/>
      <c r="C488" s="16"/>
      <c r="D488" s="16"/>
      <c r="E488" s="17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5"/>
    </row>
    <row r="489" ht="12.75" customHeight="1">
      <c r="A489" s="5"/>
      <c r="B489" s="16"/>
      <c r="C489" s="16"/>
      <c r="D489" s="16"/>
      <c r="E489" s="17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5"/>
    </row>
    <row r="490" ht="12.75" customHeight="1">
      <c r="A490" s="5"/>
      <c r="B490" s="16"/>
      <c r="C490" s="16"/>
      <c r="D490" s="16"/>
      <c r="E490" s="17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5"/>
    </row>
    <row r="491" ht="12.75" customHeight="1">
      <c r="A491" s="5"/>
      <c r="B491" s="16"/>
      <c r="C491" s="16"/>
      <c r="D491" s="16"/>
      <c r="E491" s="17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5"/>
    </row>
    <row r="492" ht="12.75" customHeight="1">
      <c r="A492" s="5"/>
      <c r="B492" s="16"/>
      <c r="C492" s="16"/>
      <c r="D492" s="16"/>
      <c r="E492" s="17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5"/>
    </row>
    <row r="493" ht="12.75" customHeight="1">
      <c r="A493" s="5"/>
      <c r="B493" s="16"/>
      <c r="C493" s="16"/>
      <c r="D493" s="16"/>
      <c r="E493" s="17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5"/>
    </row>
    <row r="494" ht="12.75" customHeight="1">
      <c r="A494" s="5"/>
      <c r="B494" s="16"/>
      <c r="C494" s="16"/>
      <c r="D494" s="16"/>
      <c r="E494" s="17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5"/>
    </row>
    <row r="495" ht="12.75" customHeight="1">
      <c r="A495" s="5"/>
      <c r="B495" s="16"/>
      <c r="C495" s="16"/>
      <c r="D495" s="16"/>
      <c r="E495" s="17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5"/>
    </row>
    <row r="496" ht="12.75" customHeight="1">
      <c r="A496" s="5"/>
      <c r="B496" s="16"/>
      <c r="C496" s="16"/>
      <c r="D496" s="16"/>
      <c r="E496" s="17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5"/>
    </row>
    <row r="497" ht="12.75" customHeight="1">
      <c r="A497" s="5"/>
      <c r="B497" s="16"/>
      <c r="C497" s="16"/>
      <c r="D497" s="16"/>
      <c r="E497" s="17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5"/>
    </row>
    <row r="498" ht="12.75" customHeight="1">
      <c r="A498" s="5"/>
      <c r="B498" s="16"/>
      <c r="C498" s="16"/>
      <c r="D498" s="16"/>
      <c r="E498" s="17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5"/>
    </row>
    <row r="499" ht="12.75" customHeight="1">
      <c r="A499" s="5"/>
      <c r="B499" s="16"/>
      <c r="C499" s="16"/>
      <c r="D499" s="16"/>
      <c r="E499" s="17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5"/>
    </row>
    <row r="500" ht="12.75" customHeight="1">
      <c r="A500" s="5"/>
      <c r="B500" s="16"/>
      <c r="C500" s="16"/>
      <c r="D500" s="16"/>
      <c r="E500" s="17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5"/>
    </row>
    <row r="501" ht="12.75" customHeight="1">
      <c r="A501" s="5"/>
      <c r="B501" s="16"/>
      <c r="C501" s="16"/>
      <c r="D501" s="16"/>
      <c r="E501" s="17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5"/>
    </row>
    <row r="502" ht="12.75" customHeight="1">
      <c r="A502" s="5"/>
      <c r="B502" s="16"/>
      <c r="C502" s="16"/>
      <c r="D502" s="16"/>
      <c r="E502" s="17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5"/>
    </row>
    <row r="503" ht="12.75" customHeight="1">
      <c r="A503" s="5"/>
      <c r="B503" s="16"/>
      <c r="C503" s="16"/>
      <c r="D503" s="16"/>
      <c r="E503" s="17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5"/>
    </row>
    <row r="504" ht="12.75" customHeight="1">
      <c r="A504" s="5"/>
      <c r="B504" s="16"/>
      <c r="C504" s="16"/>
      <c r="D504" s="16"/>
      <c r="E504" s="17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5"/>
    </row>
    <row r="505" ht="12.75" customHeight="1">
      <c r="A505" s="5"/>
      <c r="B505" s="16"/>
      <c r="C505" s="16"/>
      <c r="D505" s="16"/>
      <c r="E505" s="17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5"/>
    </row>
    <row r="506" ht="12.75" customHeight="1">
      <c r="A506" s="5"/>
      <c r="B506" s="16"/>
      <c r="C506" s="16"/>
      <c r="D506" s="16"/>
      <c r="E506" s="17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5"/>
    </row>
    <row r="507" ht="12.75" customHeight="1">
      <c r="A507" s="5"/>
      <c r="B507" s="16"/>
      <c r="C507" s="16"/>
      <c r="D507" s="16"/>
      <c r="E507" s="17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5"/>
    </row>
    <row r="508" ht="12.75" customHeight="1">
      <c r="A508" s="5"/>
      <c r="B508" s="16"/>
      <c r="C508" s="16"/>
      <c r="D508" s="16"/>
      <c r="E508" s="17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5"/>
    </row>
    <row r="509" ht="12.75" customHeight="1">
      <c r="A509" s="5"/>
      <c r="B509" s="16"/>
      <c r="C509" s="16"/>
      <c r="D509" s="16"/>
      <c r="E509" s="17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5"/>
    </row>
    <row r="510" ht="12.75" customHeight="1">
      <c r="A510" s="5"/>
      <c r="B510" s="16"/>
      <c r="C510" s="16"/>
      <c r="D510" s="16"/>
      <c r="E510" s="17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5"/>
    </row>
    <row r="511" ht="12.75" customHeight="1">
      <c r="A511" s="5"/>
      <c r="B511" s="16"/>
      <c r="C511" s="16"/>
      <c r="D511" s="16"/>
      <c r="E511" s="17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5"/>
    </row>
    <row r="512" ht="12.75" customHeight="1">
      <c r="A512" s="5"/>
      <c r="B512" s="16"/>
      <c r="C512" s="16"/>
      <c r="D512" s="16"/>
      <c r="E512" s="17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5"/>
    </row>
    <row r="513" ht="12.75" customHeight="1">
      <c r="A513" s="5"/>
      <c r="B513" s="16"/>
      <c r="C513" s="16"/>
      <c r="D513" s="16"/>
      <c r="E513" s="17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5"/>
    </row>
    <row r="514" ht="12.75" customHeight="1">
      <c r="A514" s="5"/>
      <c r="B514" s="16"/>
      <c r="C514" s="16"/>
      <c r="D514" s="16"/>
      <c r="E514" s="17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5"/>
    </row>
    <row r="515" ht="12.75" customHeight="1">
      <c r="A515" s="5"/>
      <c r="B515" s="16"/>
      <c r="C515" s="16"/>
      <c r="D515" s="16"/>
      <c r="E515" s="17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5"/>
    </row>
    <row r="516" ht="12.75" customHeight="1">
      <c r="A516" s="5"/>
      <c r="B516" s="16"/>
      <c r="C516" s="16"/>
      <c r="D516" s="16"/>
      <c r="E516" s="17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5"/>
    </row>
    <row r="517" ht="12.75" customHeight="1">
      <c r="A517" s="5"/>
      <c r="B517" s="16"/>
      <c r="C517" s="16"/>
      <c r="D517" s="16"/>
      <c r="E517" s="17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5"/>
    </row>
    <row r="518" ht="12.75" customHeight="1">
      <c r="A518" s="5"/>
      <c r="B518" s="16"/>
      <c r="C518" s="16"/>
      <c r="D518" s="16"/>
      <c r="E518" s="17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5"/>
    </row>
    <row r="519" ht="12.75" customHeight="1">
      <c r="A519" s="5"/>
      <c r="B519" s="16"/>
      <c r="C519" s="16"/>
      <c r="D519" s="16"/>
      <c r="E519" s="17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5"/>
    </row>
    <row r="520" ht="12.75" customHeight="1">
      <c r="A520" s="5"/>
      <c r="B520" s="16"/>
      <c r="C520" s="16"/>
      <c r="D520" s="16"/>
      <c r="E520" s="17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5"/>
    </row>
    <row r="521" ht="12.75" customHeight="1">
      <c r="A521" s="5"/>
      <c r="B521" s="16"/>
      <c r="C521" s="16"/>
      <c r="D521" s="16"/>
      <c r="E521" s="17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5"/>
    </row>
    <row r="522" ht="12.75" customHeight="1">
      <c r="A522" s="5"/>
      <c r="B522" s="16"/>
      <c r="C522" s="16"/>
      <c r="D522" s="16"/>
      <c r="E522" s="17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5"/>
    </row>
    <row r="523" ht="12.75" customHeight="1">
      <c r="A523" s="5"/>
      <c r="B523" s="16"/>
      <c r="C523" s="16"/>
      <c r="D523" s="16"/>
      <c r="E523" s="17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5"/>
    </row>
    <row r="524" ht="12.75" customHeight="1">
      <c r="A524" s="5"/>
      <c r="B524" s="16"/>
      <c r="C524" s="16"/>
      <c r="D524" s="16"/>
      <c r="E524" s="17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5"/>
    </row>
    <row r="525" ht="12.75" customHeight="1">
      <c r="A525" s="5"/>
      <c r="B525" s="16"/>
      <c r="C525" s="16"/>
      <c r="D525" s="16"/>
      <c r="E525" s="17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5"/>
    </row>
    <row r="526" ht="12.75" customHeight="1">
      <c r="A526" s="5"/>
      <c r="B526" s="16"/>
      <c r="C526" s="16"/>
      <c r="D526" s="16"/>
      <c r="E526" s="17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5"/>
    </row>
    <row r="527" ht="12.75" customHeight="1">
      <c r="A527" s="5"/>
      <c r="B527" s="16"/>
      <c r="C527" s="16"/>
      <c r="D527" s="16"/>
      <c r="E527" s="17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5"/>
    </row>
    <row r="528" ht="12.75" customHeight="1">
      <c r="A528" s="5"/>
      <c r="B528" s="16"/>
      <c r="C528" s="16"/>
      <c r="D528" s="16"/>
      <c r="E528" s="17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5"/>
    </row>
    <row r="529" ht="12.75" customHeight="1">
      <c r="A529" s="5"/>
      <c r="B529" s="16"/>
      <c r="C529" s="16"/>
      <c r="D529" s="16"/>
      <c r="E529" s="17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5"/>
    </row>
    <row r="530" ht="12.75" customHeight="1">
      <c r="A530" s="5"/>
      <c r="B530" s="16"/>
      <c r="C530" s="16"/>
      <c r="D530" s="16"/>
      <c r="E530" s="17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5"/>
    </row>
    <row r="531" ht="12.75" customHeight="1">
      <c r="A531" s="5"/>
      <c r="B531" s="16"/>
      <c r="C531" s="16"/>
      <c r="D531" s="16"/>
      <c r="E531" s="17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5"/>
    </row>
    <row r="532" ht="12.75" customHeight="1">
      <c r="A532" s="5"/>
      <c r="B532" s="16"/>
      <c r="C532" s="16"/>
      <c r="D532" s="16"/>
      <c r="E532" s="17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5"/>
    </row>
    <row r="533" ht="12.75" customHeight="1">
      <c r="A533" s="5"/>
      <c r="B533" s="16"/>
      <c r="C533" s="16"/>
      <c r="D533" s="16"/>
      <c r="E533" s="17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5"/>
    </row>
    <row r="534" ht="12.75" customHeight="1">
      <c r="A534" s="5"/>
      <c r="B534" s="16"/>
      <c r="C534" s="16"/>
      <c r="D534" s="16"/>
      <c r="E534" s="17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5"/>
    </row>
    <row r="535" ht="12.75" customHeight="1">
      <c r="A535" s="5"/>
      <c r="B535" s="16"/>
      <c r="C535" s="16"/>
      <c r="D535" s="16"/>
      <c r="E535" s="17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5"/>
    </row>
    <row r="536" ht="12.75" customHeight="1">
      <c r="A536" s="5"/>
      <c r="B536" s="16"/>
      <c r="C536" s="16"/>
      <c r="D536" s="16"/>
      <c r="E536" s="17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5"/>
    </row>
    <row r="537" ht="12.75" customHeight="1">
      <c r="A537" s="5"/>
      <c r="B537" s="16"/>
      <c r="C537" s="16"/>
      <c r="D537" s="16"/>
      <c r="E537" s="17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5"/>
    </row>
    <row r="538" ht="12.75" customHeight="1">
      <c r="A538" s="5"/>
      <c r="B538" s="16"/>
      <c r="C538" s="16"/>
      <c r="D538" s="16"/>
      <c r="E538" s="17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5"/>
    </row>
    <row r="539" ht="12.75" customHeight="1">
      <c r="A539" s="5"/>
      <c r="B539" s="16"/>
      <c r="C539" s="16"/>
      <c r="D539" s="16"/>
      <c r="E539" s="17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5"/>
    </row>
    <row r="540" ht="12.75" customHeight="1">
      <c r="A540" s="5"/>
      <c r="B540" s="16"/>
      <c r="C540" s="16"/>
      <c r="D540" s="16"/>
      <c r="E540" s="17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5"/>
    </row>
    <row r="541" ht="12.75" customHeight="1">
      <c r="A541" s="5"/>
      <c r="B541" s="16"/>
      <c r="C541" s="16"/>
      <c r="D541" s="16"/>
      <c r="E541" s="17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5"/>
    </row>
    <row r="542" ht="12.75" customHeight="1">
      <c r="A542" s="5"/>
      <c r="B542" s="16"/>
      <c r="C542" s="16"/>
      <c r="D542" s="16"/>
      <c r="E542" s="17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5"/>
    </row>
    <row r="543" ht="12.75" customHeight="1">
      <c r="A543" s="5"/>
      <c r="B543" s="16"/>
      <c r="C543" s="16"/>
      <c r="D543" s="16"/>
      <c r="E543" s="17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5"/>
    </row>
    <row r="544" ht="12.75" customHeight="1">
      <c r="A544" s="5"/>
      <c r="B544" s="16"/>
      <c r="C544" s="16"/>
      <c r="D544" s="16"/>
      <c r="E544" s="17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5"/>
    </row>
    <row r="545" ht="12.75" customHeight="1">
      <c r="A545" s="5"/>
      <c r="B545" s="16"/>
      <c r="C545" s="16"/>
      <c r="D545" s="16"/>
      <c r="E545" s="17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5"/>
    </row>
    <row r="546" ht="12.75" customHeight="1">
      <c r="A546" s="5"/>
      <c r="B546" s="16"/>
      <c r="C546" s="16"/>
      <c r="D546" s="16"/>
      <c r="E546" s="17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5"/>
    </row>
    <row r="547" ht="12.75" customHeight="1">
      <c r="A547" s="5"/>
      <c r="B547" s="16"/>
      <c r="C547" s="16"/>
      <c r="D547" s="16"/>
      <c r="E547" s="17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5"/>
    </row>
    <row r="548" ht="12.75" customHeight="1">
      <c r="A548" s="5"/>
      <c r="B548" s="16"/>
      <c r="C548" s="16"/>
      <c r="D548" s="16"/>
      <c r="E548" s="17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5"/>
    </row>
    <row r="549" ht="12.75" customHeight="1">
      <c r="A549" s="5"/>
      <c r="B549" s="16"/>
      <c r="C549" s="16"/>
      <c r="D549" s="16"/>
      <c r="E549" s="17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5"/>
    </row>
    <row r="550" ht="12.75" customHeight="1">
      <c r="A550" s="5"/>
      <c r="B550" s="16"/>
      <c r="C550" s="16"/>
      <c r="D550" s="16"/>
      <c r="E550" s="17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5"/>
    </row>
    <row r="551" ht="12.75" customHeight="1">
      <c r="A551" s="5"/>
      <c r="B551" s="16"/>
      <c r="C551" s="16"/>
      <c r="D551" s="16"/>
      <c r="E551" s="17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5"/>
    </row>
    <row r="552" ht="12.75" customHeight="1">
      <c r="A552" s="5"/>
      <c r="B552" s="16"/>
      <c r="C552" s="16"/>
      <c r="D552" s="16"/>
      <c r="E552" s="17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5"/>
    </row>
    <row r="553" ht="12.75" customHeight="1">
      <c r="A553" s="5"/>
      <c r="B553" s="16"/>
      <c r="C553" s="16"/>
      <c r="D553" s="16"/>
      <c r="E553" s="17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5"/>
    </row>
    <row r="554" ht="12.75" customHeight="1">
      <c r="A554" s="5"/>
      <c r="B554" s="16"/>
      <c r="C554" s="16"/>
      <c r="D554" s="16"/>
      <c r="E554" s="17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5"/>
    </row>
    <row r="555" ht="12.75" customHeight="1">
      <c r="A555" s="5"/>
      <c r="B555" s="16"/>
      <c r="C555" s="16"/>
      <c r="D555" s="16"/>
      <c r="E555" s="17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5"/>
    </row>
    <row r="556" ht="12.75" customHeight="1">
      <c r="A556" s="5"/>
      <c r="B556" s="16"/>
      <c r="C556" s="16"/>
      <c r="D556" s="16"/>
      <c r="E556" s="17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5"/>
    </row>
    <row r="557" ht="12.75" customHeight="1">
      <c r="A557" s="5"/>
      <c r="B557" s="16"/>
      <c r="C557" s="16"/>
      <c r="D557" s="16"/>
      <c r="E557" s="17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5"/>
    </row>
    <row r="558" ht="12.75" customHeight="1">
      <c r="A558" s="5"/>
      <c r="B558" s="16"/>
      <c r="C558" s="16"/>
      <c r="D558" s="16"/>
      <c r="E558" s="17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5"/>
    </row>
    <row r="559" ht="12.75" customHeight="1">
      <c r="A559" s="5"/>
      <c r="B559" s="16"/>
      <c r="C559" s="16"/>
      <c r="D559" s="16"/>
      <c r="E559" s="17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5"/>
    </row>
    <row r="560" ht="12.75" customHeight="1">
      <c r="A560" s="5"/>
      <c r="B560" s="16"/>
      <c r="C560" s="16"/>
      <c r="D560" s="16"/>
      <c r="E560" s="17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5"/>
    </row>
    <row r="561" ht="12.75" customHeight="1">
      <c r="A561" s="5"/>
      <c r="B561" s="16"/>
      <c r="C561" s="16"/>
      <c r="D561" s="16"/>
      <c r="E561" s="17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5"/>
    </row>
    <row r="562" ht="12.75" customHeight="1">
      <c r="A562" s="5"/>
      <c r="B562" s="16"/>
      <c r="C562" s="16"/>
      <c r="D562" s="16"/>
      <c r="E562" s="17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5"/>
    </row>
    <row r="563" ht="12.75" customHeight="1">
      <c r="A563" s="5"/>
      <c r="B563" s="16"/>
      <c r="C563" s="16"/>
      <c r="D563" s="16"/>
      <c r="E563" s="17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5"/>
    </row>
    <row r="564" ht="12.75" customHeight="1">
      <c r="A564" s="5"/>
      <c r="B564" s="16"/>
      <c r="C564" s="16"/>
      <c r="D564" s="16"/>
      <c r="E564" s="17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5"/>
    </row>
    <row r="565" ht="12.75" customHeight="1">
      <c r="A565" s="5"/>
      <c r="B565" s="16"/>
      <c r="C565" s="16"/>
      <c r="D565" s="16"/>
      <c r="E565" s="17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5"/>
    </row>
    <row r="566" ht="12.75" customHeight="1">
      <c r="A566" s="5"/>
      <c r="B566" s="16"/>
      <c r="C566" s="16"/>
      <c r="D566" s="16"/>
      <c r="E566" s="17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5"/>
    </row>
    <row r="567" ht="12.75" customHeight="1">
      <c r="A567" s="5"/>
      <c r="B567" s="16"/>
      <c r="C567" s="16"/>
      <c r="D567" s="16"/>
      <c r="E567" s="17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5"/>
    </row>
    <row r="568" ht="12.75" customHeight="1">
      <c r="A568" s="5"/>
      <c r="B568" s="16"/>
      <c r="C568" s="16"/>
      <c r="D568" s="16"/>
      <c r="E568" s="17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5"/>
    </row>
    <row r="569" ht="12.75" customHeight="1">
      <c r="A569" s="5"/>
      <c r="B569" s="16"/>
      <c r="C569" s="16"/>
      <c r="D569" s="16"/>
      <c r="E569" s="17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5"/>
    </row>
    <row r="570" ht="12.75" customHeight="1">
      <c r="A570" s="5"/>
      <c r="B570" s="16"/>
      <c r="C570" s="16"/>
      <c r="D570" s="16"/>
      <c r="E570" s="17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5"/>
    </row>
    <row r="571" ht="12.75" customHeight="1">
      <c r="A571" s="5"/>
      <c r="B571" s="16"/>
      <c r="C571" s="16"/>
      <c r="D571" s="16"/>
      <c r="E571" s="17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5"/>
    </row>
    <row r="572" ht="12.75" customHeight="1">
      <c r="A572" s="5"/>
      <c r="B572" s="16"/>
      <c r="C572" s="16"/>
      <c r="D572" s="16"/>
      <c r="E572" s="17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5"/>
    </row>
    <row r="573" ht="12.75" customHeight="1">
      <c r="A573" s="5"/>
      <c r="B573" s="16"/>
      <c r="C573" s="16"/>
      <c r="D573" s="16"/>
      <c r="E573" s="17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5"/>
    </row>
    <row r="574" ht="12.75" customHeight="1">
      <c r="A574" s="5"/>
      <c r="B574" s="16"/>
      <c r="C574" s="16"/>
      <c r="D574" s="16"/>
      <c r="E574" s="17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5"/>
    </row>
    <row r="575" ht="12.75" customHeight="1">
      <c r="A575" s="5"/>
      <c r="B575" s="16"/>
      <c r="C575" s="16"/>
      <c r="D575" s="16"/>
      <c r="E575" s="17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5"/>
    </row>
    <row r="576" ht="12.75" customHeight="1">
      <c r="A576" s="5"/>
      <c r="B576" s="16"/>
      <c r="C576" s="16"/>
      <c r="D576" s="16"/>
      <c r="E576" s="17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5"/>
    </row>
    <row r="577" ht="12.75" customHeight="1">
      <c r="A577" s="5"/>
      <c r="B577" s="16"/>
      <c r="C577" s="16"/>
      <c r="D577" s="16"/>
      <c r="E577" s="17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5"/>
    </row>
    <row r="578" ht="12.75" customHeight="1">
      <c r="A578" s="5"/>
      <c r="B578" s="16"/>
      <c r="C578" s="16"/>
      <c r="D578" s="16"/>
      <c r="E578" s="17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5"/>
    </row>
    <row r="579" ht="12.75" customHeight="1">
      <c r="A579" s="5"/>
      <c r="B579" s="16"/>
      <c r="C579" s="16"/>
      <c r="D579" s="16"/>
      <c r="E579" s="17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5"/>
    </row>
    <row r="580" ht="12.75" customHeight="1">
      <c r="A580" s="5"/>
      <c r="B580" s="16"/>
      <c r="C580" s="16"/>
      <c r="D580" s="16"/>
      <c r="E580" s="17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5"/>
    </row>
    <row r="581" ht="12.75" customHeight="1">
      <c r="A581" s="5"/>
      <c r="B581" s="16"/>
      <c r="C581" s="16"/>
      <c r="D581" s="16"/>
      <c r="E581" s="17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5"/>
    </row>
    <row r="582" ht="12.75" customHeight="1">
      <c r="A582" s="5"/>
      <c r="B582" s="16"/>
      <c r="C582" s="16"/>
      <c r="D582" s="16"/>
      <c r="E582" s="17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5"/>
    </row>
    <row r="583" ht="12.75" customHeight="1">
      <c r="A583" s="5"/>
      <c r="B583" s="16"/>
      <c r="C583" s="16"/>
      <c r="D583" s="16"/>
      <c r="E583" s="17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5"/>
    </row>
    <row r="584" ht="12.75" customHeight="1">
      <c r="A584" s="5"/>
      <c r="B584" s="16"/>
      <c r="C584" s="16"/>
      <c r="D584" s="16"/>
      <c r="E584" s="17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5"/>
    </row>
    <row r="585" ht="12.75" customHeight="1">
      <c r="A585" s="5"/>
      <c r="B585" s="16"/>
      <c r="C585" s="16"/>
      <c r="D585" s="16"/>
      <c r="E585" s="17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5"/>
    </row>
    <row r="586" ht="12.75" customHeight="1">
      <c r="A586" s="5"/>
      <c r="B586" s="16"/>
      <c r="C586" s="16"/>
      <c r="D586" s="16"/>
      <c r="E586" s="17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5"/>
    </row>
    <row r="587" ht="12.75" customHeight="1">
      <c r="A587" s="5"/>
      <c r="B587" s="16"/>
      <c r="C587" s="16"/>
      <c r="D587" s="16"/>
      <c r="E587" s="17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5"/>
    </row>
    <row r="588" ht="12.75" customHeight="1">
      <c r="A588" s="5"/>
      <c r="B588" s="16"/>
      <c r="C588" s="16"/>
      <c r="D588" s="16"/>
      <c r="E588" s="17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5"/>
    </row>
    <row r="589" ht="12.75" customHeight="1">
      <c r="A589" s="5"/>
      <c r="B589" s="16"/>
      <c r="C589" s="16"/>
      <c r="D589" s="16"/>
      <c r="E589" s="17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5"/>
    </row>
    <row r="590" ht="12.75" customHeight="1">
      <c r="A590" s="5"/>
      <c r="B590" s="16"/>
      <c r="C590" s="16"/>
      <c r="D590" s="16"/>
      <c r="E590" s="17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5"/>
    </row>
    <row r="591" ht="12.75" customHeight="1">
      <c r="A591" s="5"/>
      <c r="B591" s="16"/>
      <c r="C591" s="16"/>
      <c r="D591" s="16"/>
      <c r="E591" s="17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5"/>
    </row>
    <row r="592" ht="12.75" customHeight="1">
      <c r="A592" s="5"/>
      <c r="B592" s="16"/>
      <c r="C592" s="16"/>
      <c r="D592" s="16"/>
      <c r="E592" s="17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5"/>
    </row>
    <row r="593" ht="12.75" customHeight="1">
      <c r="A593" s="5"/>
      <c r="B593" s="16"/>
      <c r="C593" s="16"/>
      <c r="D593" s="16"/>
      <c r="E593" s="17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5"/>
    </row>
    <row r="594" ht="12.75" customHeight="1">
      <c r="A594" s="5"/>
      <c r="B594" s="16"/>
      <c r="C594" s="16"/>
      <c r="D594" s="16"/>
      <c r="E594" s="17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5"/>
    </row>
    <row r="595" ht="12.75" customHeight="1">
      <c r="A595" s="5"/>
      <c r="B595" s="16"/>
      <c r="C595" s="16"/>
      <c r="D595" s="16"/>
      <c r="E595" s="17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5"/>
    </row>
    <row r="596" ht="12.75" customHeight="1">
      <c r="A596" s="5"/>
      <c r="B596" s="16"/>
      <c r="C596" s="16"/>
      <c r="D596" s="16"/>
      <c r="E596" s="17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5"/>
    </row>
    <row r="597" ht="12.75" customHeight="1">
      <c r="A597" s="5"/>
      <c r="B597" s="16"/>
      <c r="C597" s="16"/>
      <c r="D597" s="16"/>
      <c r="E597" s="17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5"/>
    </row>
    <row r="598" ht="12.75" customHeight="1">
      <c r="A598" s="5"/>
      <c r="B598" s="16"/>
      <c r="C598" s="16"/>
      <c r="D598" s="16"/>
      <c r="E598" s="17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5"/>
    </row>
    <row r="599" ht="12.75" customHeight="1">
      <c r="A599" s="5"/>
      <c r="B599" s="16"/>
      <c r="C599" s="16"/>
      <c r="D599" s="16"/>
      <c r="E599" s="17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5"/>
    </row>
    <row r="600" ht="12.75" customHeight="1">
      <c r="A600" s="5"/>
      <c r="B600" s="16"/>
      <c r="C600" s="16"/>
      <c r="D600" s="16"/>
      <c r="E600" s="17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5"/>
    </row>
    <row r="601" ht="12.75" customHeight="1">
      <c r="A601" s="5"/>
      <c r="B601" s="16"/>
      <c r="C601" s="16"/>
      <c r="D601" s="16"/>
      <c r="E601" s="17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5"/>
    </row>
    <row r="602" ht="12.75" customHeight="1">
      <c r="A602" s="5"/>
      <c r="B602" s="16"/>
      <c r="C602" s="16"/>
      <c r="D602" s="16"/>
      <c r="E602" s="17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5"/>
    </row>
    <row r="603" ht="12.75" customHeight="1">
      <c r="A603" s="5"/>
      <c r="B603" s="16"/>
      <c r="C603" s="16"/>
      <c r="D603" s="16"/>
      <c r="E603" s="17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5"/>
    </row>
    <row r="604" ht="12.75" customHeight="1">
      <c r="A604" s="5"/>
      <c r="B604" s="16"/>
      <c r="C604" s="16"/>
      <c r="D604" s="16"/>
      <c r="E604" s="17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5"/>
    </row>
    <row r="605" ht="12.75" customHeight="1">
      <c r="A605" s="5"/>
      <c r="B605" s="16"/>
      <c r="C605" s="16"/>
      <c r="D605" s="16"/>
      <c r="E605" s="17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5"/>
    </row>
    <row r="606" ht="12.75" customHeight="1">
      <c r="A606" s="5"/>
      <c r="B606" s="16"/>
      <c r="C606" s="16"/>
      <c r="D606" s="16"/>
      <c r="E606" s="17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5"/>
    </row>
    <row r="607" ht="12.75" customHeight="1">
      <c r="A607" s="5"/>
      <c r="B607" s="16"/>
      <c r="C607" s="16"/>
      <c r="D607" s="16"/>
      <c r="E607" s="17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5"/>
    </row>
    <row r="608" ht="12.75" customHeight="1">
      <c r="A608" s="5"/>
      <c r="B608" s="16"/>
      <c r="C608" s="16"/>
      <c r="D608" s="16"/>
      <c r="E608" s="17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5"/>
    </row>
    <row r="609" ht="12.75" customHeight="1">
      <c r="A609" s="5"/>
      <c r="B609" s="16"/>
      <c r="C609" s="16"/>
      <c r="D609" s="16"/>
      <c r="E609" s="17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5"/>
    </row>
    <row r="610" ht="12.75" customHeight="1">
      <c r="A610" s="5"/>
      <c r="B610" s="16"/>
      <c r="C610" s="16"/>
      <c r="D610" s="16"/>
      <c r="E610" s="17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5"/>
    </row>
    <row r="611" ht="12.75" customHeight="1">
      <c r="A611" s="5"/>
      <c r="B611" s="16"/>
      <c r="C611" s="16"/>
      <c r="D611" s="16"/>
      <c r="E611" s="17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5"/>
    </row>
    <row r="612" ht="12.75" customHeight="1">
      <c r="A612" s="5"/>
      <c r="B612" s="16"/>
      <c r="C612" s="16"/>
      <c r="D612" s="16"/>
      <c r="E612" s="17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5"/>
    </row>
    <row r="613" ht="12.75" customHeight="1">
      <c r="A613" s="5"/>
      <c r="B613" s="16"/>
      <c r="C613" s="16"/>
      <c r="D613" s="16"/>
      <c r="E613" s="17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5"/>
    </row>
    <row r="614" ht="12.75" customHeight="1">
      <c r="A614" s="5"/>
      <c r="B614" s="16"/>
      <c r="C614" s="16"/>
      <c r="D614" s="16"/>
      <c r="E614" s="17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5"/>
    </row>
    <row r="615" ht="12.75" customHeight="1">
      <c r="A615" s="5"/>
      <c r="B615" s="16"/>
      <c r="C615" s="16"/>
      <c r="D615" s="16"/>
      <c r="E615" s="17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5"/>
    </row>
    <row r="616" ht="12.75" customHeight="1">
      <c r="A616" s="5"/>
      <c r="B616" s="16"/>
      <c r="C616" s="16"/>
      <c r="D616" s="16"/>
      <c r="E616" s="17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5"/>
    </row>
    <row r="617" ht="12.75" customHeight="1">
      <c r="A617" s="5"/>
      <c r="B617" s="16"/>
      <c r="C617" s="16"/>
      <c r="D617" s="16"/>
      <c r="E617" s="17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5"/>
    </row>
    <row r="618" ht="12.75" customHeight="1">
      <c r="A618" s="5"/>
      <c r="B618" s="16"/>
      <c r="C618" s="16"/>
      <c r="D618" s="16"/>
      <c r="E618" s="17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5"/>
    </row>
    <row r="619" ht="12.75" customHeight="1">
      <c r="A619" s="5"/>
      <c r="B619" s="16"/>
      <c r="C619" s="16"/>
      <c r="D619" s="16"/>
      <c r="E619" s="17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5"/>
    </row>
    <row r="620" ht="12.75" customHeight="1">
      <c r="A620" s="5"/>
      <c r="B620" s="16"/>
      <c r="C620" s="16"/>
      <c r="D620" s="16"/>
      <c r="E620" s="17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5"/>
    </row>
    <row r="621" ht="12.75" customHeight="1">
      <c r="A621" s="5"/>
      <c r="B621" s="16"/>
      <c r="C621" s="16"/>
      <c r="D621" s="16"/>
      <c r="E621" s="17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5"/>
    </row>
    <row r="622" ht="12.75" customHeight="1">
      <c r="A622" s="5"/>
      <c r="B622" s="16"/>
      <c r="C622" s="16"/>
      <c r="D622" s="16"/>
      <c r="E622" s="17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5"/>
    </row>
    <row r="623" ht="12.75" customHeight="1">
      <c r="A623" s="5"/>
      <c r="B623" s="16"/>
      <c r="C623" s="16"/>
      <c r="D623" s="16"/>
      <c r="E623" s="17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5"/>
    </row>
    <row r="624" ht="12.75" customHeight="1">
      <c r="A624" s="5"/>
      <c r="B624" s="16"/>
      <c r="C624" s="16"/>
      <c r="D624" s="16"/>
      <c r="E624" s="17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5"/>
    </row>
    <row r="625" ht="12.75" customHeight="1">
      <c r="A625" s="5"/>
      <c r="B625" s="16"/>
      <c r="C625" s="16"/>
      <c r="D625" s="16"/>
      <c r="E625" s="17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5"/>
    </row>
    <row r="626" ht="12.75" customHeight="1">
      <c r="A626" s="5"/>
      <c r="B626" s="16"/>
      <c r="C626" s="16"/>
      <c r="D626" s="16"/>
      <c r="E626" s="17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5"/>
    </row>
    <row r="627" ht="12.75" customHeight="1">
      <c r="A627" s="5"/>
      <c r="B627" s="16"/>
      <c r="C627" s="16"/>
      <c r="D627" s="16"/>
      <c r="E627" s="17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5"/>
    </row>
    <row r="628" ht="12.75" customHeight="1">
      <c r="A628" s="5"/>
      <c r="B628" s="16"/>
      <c r="C628" s="16"/>
      <c r="D628" s="16"/>
      <c r="E628" s="17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5"/>
    </row>
    <row r="629" ht="12.75" customHeight="1">
      <c r="A629" s="5"/>
      <c r="B629" s="16"/>
      <c r="C629" s="16"/>
      <c r="D629" s="16"/>
      <c r="E629" s="17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5"/>
    </row>
    <row r="630" ht="12.75" customHeight="1">
      <c r="A630" s="5"/>
      <c r="B630" s="16"/>
      <c r="C630" s="16"/>
      <c r="D630" s="16"/>
      <c r="E630" s="17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5"/>
    </row>
    <row r="631" ht="12.75" customHeight="1">
      <c r="A631" s="5"/>
      <c r="B631" s="16"/>
      <c r="C631" s="16"/>
      <c r="D631" s="16"/>
      <c r="E631" s="17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5"/>
    </row>
    <row r="632" ht="12.75" customHeight="1">
      <c r="A632" s="5"/>
      <c r="B632" s="16"/>
      <c r="C632" s="16"/>
      <c r="D632" s="16"/>
      <c r="E632" s="17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5"/>
    </row>
    <row r="633" ht="12.75" customHeight="1">
      <c r="A633" s="5"/>
      <c r="B633" s="16"/>
      <c r="C633" s="16"/>
      <c r="D633" s="16"/>
      <c r="E633" s="17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5"/>
    </row>
    <row r="634" ht="12.75" customHeight="1">
      <c r="A634" s="5"/>
      <c r="B634" s="16"/>
      <c r="C634" s="16"/>
      <c r="D634" s="16"/>
      <c r="E634" s="17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5"/>
    </row>
    <row r="635" ht="12.75" customHeight="1">
      <c r="A635" s="5"/>
      <c r="B635" s="16"/>
      <c r="C635" s="16"/>
      <c r="D635" s="16"/>
      <c r="E635" s="17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5"/>
    </row>
    <row r="636" ht="12.75" customHeight="1">
      <c r="A636" s="5"/>
      <c r="B636" s="16"/>
      <c r="C636" s="16"/>
      <c r="D636" s="16"/>
      <c r="E636" s="17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5"/>
    </row>
    <row r="637" ht="12.75" customHeight="1">
      <c r="A637" s="5"/>
      <c r="B637" s="16"/>
      <c r="C637" s="16"/>
      <c r="D637" s="16"/>
      <c r="E637" s="17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5"/>
    </row>
    <row r="638" ht="12.75" customHeight="1">
      <c r="A638" s="5"/>
      <c r="B638" s="16"/>
      <c r="C638" s="16"/>
      <c r="D638" s="16"/>
      <c r="E638" s="17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5"/>
    </row>
    <row r="639" ht="12.75" customHeight="1">
      <c r="A639" s="5"/>
      <c r="B639" s="16"/>
      <c r="C639" s="16"/>
      <c r="D639" s="16"/>
      <c r="E639" s="17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5"/>
    </row>
    <row r="640" ht="12.75" customHeight="1">
      <c r="A640" s="5"/>
      <c r="B640" s="16"/>
      <c r="C640" s="16"/>
      <c r="D640" s="16"/>
      <c r="E640" s="17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5"/>
    </row>
    <row r="641" ht="12.75" customHeight="1">
      <c r="A641" s="5"/>
      <c r="B641" s="16"/>
      <c r="C641" s="16"/>
      <c r="D641" s="16"/>
      <c r="E641" s="17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5"/>
    </row>
    <row r="642" ht="12.75" customHeight="1">
      <c r="A642" s="5"/>
      <c r="B642" s="16"/>
      <c r="C642" s="16"/>
      <c r="D642" s="16"/>
      <c r="E642" s="17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5"/>
    </row>
    <row r="643" ht="12.75" customHeight="1">
      <c r="A643" s="5"/>
      <c r="B643" s="16"/>
      <c r="C643" s="16"/>
      <c r="D643" s="16"/>
      <c r="E643" s="17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5"/>
    </row>
    <row r="644" ht="12.75" customHeight="1">
      <c r="A644" s="5"/>
      <c r="B644" s="16"/>
      <c r="C644" s="16"/>
      <c r="D644" s="16"/>
      <c r="E644" s="17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5"/>
    </row>
    <row r="645" ht="12.75" customHeight="1">
      <c r="A645" s="5"/>
      <c r="B645" s="16"/>
      <c r="C645" s="16"/>
      <c r="D645" s="16"/>
      <c r="E645" s="17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5"/>
    </row>
    <row r="646" ht="12.75" customHeight="1">
      <c r="A646" s="5"/>
      <c r="B646" s="16"/>
      <c r="C646" s="16"/>
      <c r="D646" s="16"/>
      <c r="E646" s="17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5"/>
    </row>
    <row r="647" ht="12.75" customHeight="1">
      <c r="A647" s="5"/>
      <c r="B647" s="16"/>
      <c r="C647" s="16"/>
      <c r="D647" s="16"/>
      <c r="E647" s="17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5"/>
    </row>
    <row r="648" ht="12.75" customHeight="1">
      <c r="A648" s="5"/>
      <c r="B648" s="16"/>
      <c r="C648" s="16"/>
      <c r="D648" s="16"/>
      <c r="E648" s="17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5"/>
    </row>
    <row r="649" ht="12.75" customHeight="1">
      <c r="A649" s="5"/>
      <c r="B649" s="16"/>
      <c r="C649" s="16"/>
      <c r="D649" s="16"/>
      <c r="E649" s="17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5"/>
    </row>
    <row r="650" ht="12.75" customHeight="1">
      <c r="A650" s="5"/>
      <c r="B650" s="16"/>
      <c r="C650" s="16"/>
      <c r="D650" s="16"/>
      <c r="E650" s="17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5"/>
    </row>
    <row r="651" ht="12.75" customHeight="1">
      <c r="A651" s="5"/>
      <c r="B651" s="16"/>
      <c r="C651" s="16"/>
      <c r="D651" s="16"/>
      <c r="E651" s="17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5"/>
    </row>
    <row r="652" ht="12.75" customHeight="1">
      <c r="A652" s="5"/>
      <c r="B652" s="16"/>
      <c r="C652" s="16"/>
      <c r="D652" s="16"/>
      <c r="E652" s="17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5"/>
    </row>
    <row r="653" ht="12.75" customHeight="1">
      <c r="A653" s="5"/>
      <c r="B653" s="16"/>
      <c r="C653" s="16"/>
      <c r="D653" s="16"/>
      <c r="E653" s="17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5"/>
    </row>
    <row r="654" ht="12.75" customHeight="1">
      <c r="A654" s="5"/>
      <c r="B654" s="16"/>
      <c r="C654" s="16"/>
      <c r="D654" s="16"/>
      <c r="E654" s="17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5"/>
    </row>
    <row r="655" ht="12.75" customHeight="1">
      <c r="A655" s="5"/>
      <c r="B655" s="16"/>
      <c r="C655" s="16"/>
      <c r="D655" s="16"/>
      <c r="E655" s="17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5"/>
    </row>
    <row r="656" ht="12.75" customHeight="1">
      <c r="A656" s="5"/>
      <c r="B656" s="16"/>
      <c r="C656" s="16"/>
      <c r="D656" s="16"/>
      <c r="E656" s="17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5"/>
    </row>
    <row r="657" ht="12.75" customHeight="1">
      <c r="A657" s="5"/>
      <c r="B657" s="16"/>
      <c r="C657" s="16"/>
      <c r="D657" s="16"/>
      <c r="E657" s="17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5"/>
    </row>
    <row r="658" ht="12.75" customHeight="1">
      <c r="A658" s="5"/>
      <c r="B658" s="16"/>
      <c r="C658" s="16"/>
      <c r="D658" s="16"/>
      <c r="E658" s="17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5"/>
    </row>
    <row r="659" ht="12.75" customHeight="1">
      <c r="A659" s="5"/>
      <c r="B659" s="16"/>
      <c r="C659" s="16"/>
      <c r="D659" s="16"/>
      <c r="E659" s="17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5"/>
    </row>
    <row r="660" ht="12.75" customHeight="1">
      <c r="A660" s="5"/>
      <c r="B660" s="16"/>
      <c r="C660" s="16"/>
      <c r="D660" s="16"/>
      <c r="E660" s="17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5"/>
    </row>
    <row r="661" ht="12.75" customHeight="1">
      <c r="A661" s="5"/>
      <c r="B661" s="16"/>
      <c r="C661" s="16"/>
      <c r="D661" s="16"/>
      <c r="E661" s="17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5"/>
    </row>
    <row r="662" ht="12.75" customHeight="1">
      <c r="A662" s="5"/>
      <c r="B662" s="16"/>
      <c r="C662" s="16"/>
      <c r="D662" s="16"/>
      <c r="E662" s="17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5"/>
    </row>
    <row r="663" ht="12.75" customHeight="1">
      <c r="A663" s="5"/>
      <c r="B663" s="16"/>
      <c r="C663" s="16"/>
      <c r="D663" s="16"/>
      <c r="E663" s="17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5"/>
    </row>
    <row r="664" ht="12.75" customHeight="1">
      <c r="A664" s="5"/>
      <c r="B664" s="16"/>
      <c r="C664" s="16"/>
      <c r="D664" s="16"/>
      <c r="E664" s="17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5"/>
    </row>
    <row r="665" ht="12.75" customHeight="1">
      <c r="A665" s="5"/>
      <c r="B665" s="16"/>
      <c r="C665" s="16"/>
      <c r="D665" s="16"/>
      <c r="E665" s="17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5"/>
    </row>
    <row r="666" ht="12.75" customHeight="1">
      <c r="A666" s="5"/>
      <c r="B666" s="16"/>
      <c r="C666" s="16"/>
      <c r="D666" s="16"/>
      <c r="E666" s="17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5"/>
    </row>
    <row r="667" ht="12.75" customHeight="1">
      <c r="A667" s="5"/>
      <c r="B667" s="16"/>
      <c r="C667" s="16"/>
      <c r="D667" s="16"/>
      <c r="E667" s="17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5"/>
    </row>
    <row r="668" ht="12.75" customHeight="1">
      <c r="A668" s="5"/>
      <c r="B668" s="16"/>
      <c r="C668" s="16"/>
      <c r="D668" s="16"/>
      <c r="E668" s="17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5"/>
    </row>
    <row r="669" ht="12.75" customHeight="1">
      <c r="A669" s="5"/>
      <c r="B669" s="16"/>
      <c r="C669" s="16"/>
      <c r="D669" s="16"/>
      <c r="E669" s="17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5"/>
    </row>
    <row r="670" ht="12.75" customHeight="1">
      <c r="A670" s="5"/>
      <c r="B670" s="16"/>
      <c r="C670" s="16"/>
      <c r="D670" s="16"/>
      <c r="E670" s="17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5"/>
    </row>
    <row r="671" ht="12.75" customHeight="1">
      <c r="A671" s="5"/>
      <c r="B671" s="16"/>
      <c r="C671" s="16"/>
      <c r="D671" s="16"/>
      <c r="E671" s="17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5"/>
    </row>
    <row r="672" ht="12.75" customHeight="1">
      <c r="A672" s="5"/>
      <c r="B672" s="16"/>
      <c r="C672" s="16"/>
      <c r="D672" s="16"/>
      <c r="E672" s="17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5"/>
    </row>
    <row r="673" ht="12.75" customHeight="1">
      <c r="A673" s="5"/>
      <c r="B673" s="16"/>
      <c r="C673" s="16"/>
      <c r="D673" s="16"/>
      <c r="E673" s="17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5"/>
    </row>
    <row r="674" ht="12.75" customHeight="1">
      <c r="A674" s="5"/>
      <c r="B674" s="16"/>
      <c r="C674" s="16"/>
      <c r="D674" s="16"/>
      <c r="E674" s="17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5"/>
    </row>
    <row r="675" ht="12.75" customHeight="1">
      <c r="A675" s="5"/>
      <c r="B675" s="16"/>
      <c r="C675" s="16"/>
      <c r="D675" s="16"/>
      <c r="E675" s="17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5"/>
    </row>
    <row r="676" ht="12.75" customHeight="1">
      <c r="A676" s="5"/>
      <c r="B676" s="16"/>
      <c r="C676" s="16"/>
      <c r="D676" s="16"/>
      <c r="E676" s="17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5"/>
    </row>
    <row r="677" ht="12.75" customHeight="1">
      <c r="A677" s="5"/>
      <c r="B677" s="16"/>
      <c r="C677" s="16"/>
      <c r="D677" s="16"/>
      <c r="E677" s="17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5"/>
    </row>
    <row r="678" ht="12.75" customHeight="1">
      <c r="A678" s="5"/>
      <c r="B678" s="16"/>
      <c r="C678" s="16"/>
      <c r="D678" s="16"/>
      <c r="E678" s="17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5"/>
    </row>
    <row r="679" ht="12.75" customHeight="1">
      <c r="A679" s="5"/>
      <c r="B679" s="16"/>
      <c r="C679" s="16"/>
      <c r="D679" s="16"/>
      <c r="E679" s="17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5"/>
    </row>
    <row r="680" ht="12.75" customHeight="1">
      <c r="A680" s="5"/>
      <c r="B680" s="16"/>
      <c r="C680" s="16"/>
      <c r="D680" s="16"/>
      <c r="E680" s="17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5"/>
    </row>
    <row r="681" ht="12.75" customHeight="1">
      <c r="A681" s="5"/>
      <c r="B681" s="16"/>
      <c r="C681" s="16"/>
      <c r="D681" s="16"/>
      <c r="E681" s="17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5"/>
    </row>
    <row r="682" ht="12.75" customHeight="1">
      <c r="A682" s="5"/>
      <c r="B682" s="16"/>
      <c r="C682" s="16"/>
      <c r="D682" s="16"/>
      <c r="E682" s="17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5"/>
    </row>
    <row r="683" ht="12.75" customHeight="1">
      <c r="A683" s="5"/>
      <c r="B683" s="16"/>
      <c r="C683" s="16"/>
      <c r="D683" s="16"/>
      <c r="E683" s="17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5"/>
    </row>
    <row r="684" ht="12.75" customHeight="1">
      <c r="A684" s="5"/>
      <c r="B684" s="16"/>
      <c r="C684" s="16"/>
      <c r="D684" s="16"/>
      <c r="E684" s="17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5"/>
    </row>
    <row r="685" ht="12.75" customHeight="1">
      <c r="A685" s="5"/>
      <c r="B685" s="16"/>
      <c r="C685" s="16"/>
      <c r="D685" s="16"/>
      <c r="E685" s="17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5"/>
    </row>
    <row r="686" ht="12.75" customHeight="1">
      <c r="A686" s="5"/>
      <c r="B686" s="16"/>
      <c r="C686" s="16"/>
      <c r="D686" s="16"/>
      <c r="E686" s="17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5"/>
    </row>
    <row r="687" ht="12.75" customHeight="1">
      <c r="A687" s="5"/>
      <c r="B687" s="16"/>
      <c r="C687" s="16"/>
      <c r="D687" s="16"/>
      <c r="E687" s="17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5"/>
    </row>
    <row r="688" ht="12.75" customHeight="1">
      <c r="A688" s="5"/>
      <c r="B688" s="16"/>
      <c r="C688" s="16"/>
      <c r="D688" s="16"/>
      <c r="E688" s="17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5"/>
    </row>
    <row r="689" ht="12.75" customHeight="1">
      <c r="A689" s="5"/>
      <c r="B689" s="16"/>
      <c r="C689" s="16"/>
      <c r="D689" s="16"/>
      <c r="E689" s="17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5"/>
    </row>
    <row r="690" ht="12.75" customHeight="1">
      <c r="A690" s="5"/>
      <c r="B690" s="16"/>
      <c r="C690" s="16"/>
      <c r="D690" s="16"/>
      <c r="E690" s="17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5"/>
    </row>
    <row r="691" ht="12.75" customHeight="1">
      <c r="A691" s="5"/>
      <c r="B691" s="16"/>
      <c r="C691" s="16"/>
      <c r="D691" s="16"/>
      <c r="E691" s="17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5"/>
    </row>
    <row r="692" ht="12.75" customHeight="1">
      <c r="A692" s="5"/>
      <c r="B692" s="16"/>
      <c r="C692" s="16"/>
      <c r="D692" s="16"/>
      <c r="E692" s="17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5"/>
    </row>
    <row r="693" ht="12.75" customHeight="1">
      <c r="A693" s="5"/>
      <c r="B693" s="16"/>
      <c r="C693" s="16"/>
      <c r="D693" s="16"/>
      <c r="E693" s="17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5"/>
    </row>
    <row r="694" ht="12.75" customHeight="1">
      <c r="A694" s="5"/>
      <c r="B694" s="16"/>
      <c r="C694" s="16"/>
      <c r="D694" s="16"/>
      <c r="E694" s="17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5"/>
    </row>
    <row r="695" ht="12.75" customHeight="1">
      <c r="A695" s="5"/>
      <c r="B695" s="16"/>
      <c r="C695" s="16"/>
      <c r="D695" s="16"/>
      <c r="E695" s="17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5"/>
    </row>
    <row r="696" ht="12.75" customHeight="1">
      <c r="A696" s="5"/>
      <c r="B696" s="16"/>
      <c r="C696" s="16"/>
      <c r="D696" s="16"/>
      <c r="E696" s="17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5"/>
    </row>
    <row r="697" ht="12.75" customHeight="1">
      <c r="A697" s="5"/>
      <c r="B697" s="16"/>
      <c r="C697" s="16"/>
      <c r="D697" s="16"/>
      <c r="E697" s="17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5"/>
    </row>
    <row r="698" ht="12.75" customHeight="1">
      <c r="A698" s="5"/>
      <c r="B698" s="16"/>
      <c r="C698" s="16"/>
      <c r="D698" s="16"/>
      <c r="E698" s="17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5"/>
    </row>
    <row r="699" ht="12.75" customHeight="1">
      <c r="A699" s="5"/>
      <c r="B699" s="16"/>
      <c r="C699" s="16"/>
      <c r="D699" s="16"/>
      <c r="E699" s="17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5"/>
    </row>
    <row r="700" ht="12.75" customHeight="1">
      <c r="A700" s="5"/>
      <c r="B700" s="16"/>
      <c r="C700" s="16"/>
      <c r="D700" s="16"/>
      <c r="E700" s="17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5"/>
    </row>
    <row r="701" ht="12.75" customHeight="1">
      <c r="A701" s="5"/>
      <c r="B701" s="16"/>
      <c r="C701" s="16"/>
      <c r="D701" s="16"/>
      <c r="E701" s="17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5"/>
    </row>
    <row r="702" ht="12.75" customHeight="1">
      <c r="A702" s="5"/>
      <c r="B702" s="16"/>
      <c r="C702" s="16"/>
      <c r="D702" s="16"/>
      <c r="E702" s="17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5"/>
    </row>
    <row r="703" ht="12.75" customHeight="1">
      <c r="A703" s="5"/>
      <c r="B703" s="16"/>
      <c r="C703" s="16"/>
      <c r="D703" s="16"/>
      <c r="E703" s="17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5"/>
    </row>
    <row r="704" ht="12.75" customHeight="1">
      <c r="A704" s="5"/>
      <c r="B704" s="16"/>
      <c r="C704" s="16"/>
      <c r="D704" s="16"/>
      <c r="E704" s="17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5"/>
    </row>
    <row r="705" ht="12.75" customHeight="1">
      <c r="A705" s="5"/>
      <c r="B705" s="16"/>
      <c r="C705" s="16"/>
      <c r="D705" s="16"/>
      <c r="E705" s="17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5"/>
    </row>
    <row r="706" ht="12.75" customHeight="1">
      <c r="A706" s="5"/>
      <c r="B706" s="16"/>
      <c r="C706" s="16"/>
      <c r="D706" s="16"/>
      <c r="E706" s="17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5"/>
    </row>
    <row r="707" ht="12.75" customHeight="1">
      <c r="A707" s="5"/>
      <c r="B707" s="16"/>
      <c r="C707" s="16"/>
      <c r="D707" s="16"/>
      <c r="E707" s="17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5"/>
    </row>
    <row r="708" ht="12.75" customHeight="1">
      <c r="A708" s="5"/>
      <c r="B708" s="16"/>
      <c r="C708" s="16"/>
      <c r="D708" s="16"/>
      <c r="E708" s="17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5"/>
    </row>
    <row r="709" ht="12.75" customHeight="1">
      <c r="A709" s="5"/>
      <c r="B709" s="16"/>
      <c r="C709" s="16"/>
      <c r="D709" s="16"/>
      <c r="E709" s="17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5"/>
    </row>
    <row r="710" ht="12.75" customHeight="1">
      <c r="A710" s="5"/>
      <c r="B710" s="16"/>
      <c r="C710" s="16"/>
      <c r="D710" s="16"/>
      <c r="E710" s="17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5"/>
    </row>
    <row r="711" ht="12.75" customHeight="1">
      <c r="A711" s="5"/>
      <c r="B711" s="16"/>
      <c r="C711" s="16"/>
      <c r="D711" s="16"/>
      <c r="E711" s="17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5"/>
    </row>
    <row r="712" ht="12.75" customHeight="1">
      <c r="A712" s="5"/>
      <c r="B712" s="16"/>
      <c r="C712" s="16"/>
      <c r="D712" s="16"/>
      <c r="E712" s="17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5"/>
    </row>
    <row r="713" ht="12.75" customHeight="1">
      <c r="A713" s="5"/>
      <c r="B713" s="16"/>
      <c r="C713" s="16"/>
      <c r="D713" s="16"/>
      <c r="E713" s="17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5"/>
    </row>
    <row r="714" ht="12.75" customHeight="1">
      <c r="A714" s="5"/>
      <c r="B714" s="16"/>
      <c r="C714" s="16"/>
      <c r="D714" s="16"/>
      <c r="E714" s="17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5"/>
    </row>
    <row r="715" ht="12.75" customHeight="1">
      <c r="A715" s="5"/>
      <c r="B715" s="16"/>
      <c r="C715" s="16"/>
      <c r="D715" s="16"/>
      <c r="E715" s="17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5"/>
    </row>
    <row r="716" ht="12.75" customHeight="1">
      <c r="A716" s="5"/>
      <c r="B716" s="16"/>
      <c r="C716" s="16"/>
      <c r="D716" s="16"/>
      <c r="E716" s="17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5"/>
    </row>
    <row r="717" ht="12.75" customHeight="1">
      <c r="A717" s="5"/>
      <c r="B717" s="16"/>
      <c r="C717" s="16"/>
      <c r="D717" s="16"/>
      <c r="E717" s="17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5"/>
    </row>
    <row r="718" ht="12.75" customHeight="1">
      <c r="A718" s="5"/>
      <c r="B718" s="16"/>
      <c r="C718" s="16"/>
      <c r="D718" s="16"/>
      <c r="E718" s="17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5"/>
    </row>
    <row r="719" ht="12.75" customHeight="1">
      <c r="A719" s="5"/>
      <c r="B719" s="16"/>
      <c r="C719" s="16"/>
      <c r="D719" s="16"/>
      <c r="E719" s="17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5"/>
    </row>
    <row r="720" ht="12.75" customHeight="1">
      <c r="A720" s="5"/>
      <c r="B720" s="16"/>
      <c r="C720" s="16"/>
      <c r="D720" s="16"/>
      <c r="E720" s="17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5"/>
    </row>
    <row r="721" ht="12.75" customHeight="1">
      <c r="A721" s="5"/>
      <c r="B721" s="16"/>
      <c r="C721" s="16"/>
      <c r="D721" s="16"/>
      <c r="E721" s="17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5"/>
    </row>
    <row r="722" ht="12.75" customHeight="1">
      <c r="A722" s="5"/>
      <c r="B722" s="16"/>
      <c r="C722" s="16"/>
      <c r="D722" s="16"/>
      <c r="E722" s="17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5"/>
    </row>
    <row r="723" ht="12.75" customHeight="1">
      <c r="A723" s="5"/>
      <c r="B723" s="16"/>
      <c r="C723" s="16"/>
      <c r="D723" s="16"/>
      <c r="E723" s="17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5"/>
    </row>
    <row r="724" ht="12.75" customHeight="1">
      <c r="A724" s="5"/>
      <c r="B724" s="16"/>
      <c r="C724" s="16"/>
      <c r="D724" s="16"/>
      <c r="E724" s="17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5"/>
    </row>
    <row r="725" ht="12.75" customHeight="1">
      <c r="A725" s="5"/>
      <c r="B725" s="16"/>
      <c r="C725" s="16"/>
      <c r="D725" s="16"/>
      <c r="E725" s="17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5"/>
    </row>
    <row r="726" ht="12.75" customHeight="1">
      <c r="A726" s="5"/>
      <c r="B726" s="16"/>
      <c r="C726" s="16"/>
      <c r="D726" s="16"/>
      <c r="E726" s="17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5"/>
    </row>
    <row r="727" ht="12.75" customHeight="1">
      <c r="A727" s="5"/>
      <c r="B727" s="16"/>
      <c r="C727" s="16"/>
      <c r="D727" s="16"/>
      <c r="E727" s="17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5"/>
    </row>
    <row r="728" ht="12.75" customHeight="1">
      <c r="A728" s="5"/>
      <c r="B728" s="16"/>
      <c r="C728" s="16"/>
      <c r="D728" s="16"/>
      <c r="E728" s="17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5"/>
    </row>
    <row r="729" ht="12.75" customHeight="1">
      <c r="A729" s="5"/>
      <c r="B729" s="16"/>
      <c r="C729" s="16"/>
      <c r="D729" s="16"/>
      <c r="E729" s="17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5"/>
    </row>
    <row r="730" ht="12.75" customHeight="1">
      <c r="A730" s="5"/>
      <c r="B730" s="16"/>
      <c r="C730" s="16"/>
      <c r="D730" s="16"/>
      <c r="E730" s="17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5"/>
    </row>
    <row r="731" ht="12.75" customHeight="1">
      <c r="A731" s="5"/>
      <c r="B731" s="16"/>
      <c r="C731" s="16"/>
      <c r="D731" s="16"/>
      <c r="E731" s="17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5"/>
    </row>
    <row r="732" ht="12.75" customHeight="1">
      <c r="A732" s="5"/>
      <c r="B732" s="16"/>
      <c r="C732" s="16"/>
      <c r="D732" s="16"/>
      <c r="E732" s="17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5"/>
    </row>
    <row r="733" ht="12.75" customHeight="1">
      <c r="A733" s="5"/>
      <c r="B733" s="16"/>
      <c r="C733" s="16"/>
      <c r="D733" s="16"/>
      <c r="E733" s="17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5"/>
    </row>
    <row r="734" ht="12.75" customHeight="1">
      <c r="A734" s="5"/>
      <c r="B734" s="16"/>
      <c r="C734" s="16"/>
      <c r="D734" s="16"/>
      <c r="E734" s="17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5"/>
    </row>
    <row r="735" ht="12.75" customHeight="1">
      <c r="A735" s="5"/>
      <c r="B735" s="16"/>
      <c r="C735" s="16"/>
      <c r="D735" s="16"/>
      <c r="E735" s="17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5"/>
    </row>
    <row r="736" ht="12.75" customHeight="1">
      <c r="A736" s="5"/>
      <c r="B736" s="16"/>
      <c r="C736" s="16"/>
      <c r="D736" s="16"/>
      <c r="E736" s="17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5"/>
    </row>
    <row r="737" ht="12.75" customHeight="1">
      <c r="A737" s="5"/>
      <c r="B737" s="16"/>
      <c r="C737" s="16"/>
      <c r="D737" s="16"/>
      <c r="E737" s="17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5"/>
    </row>
    <row r="738" ht="12.75" customHeight="1">
      <c r="A738" s="5"/>
      <c r="B738" s="16"/>
      <c r="C738" s="16"/>
      <c r="D738" s="16"/>
      <c r="E738" s="17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5"/>
    </row>
    <row r="739" ht="12.75" customHeight="1">
      <c r="A739" s="5"/>
      <c r="B739" s="16"/>
      <c r="C739" s="16"/>
      <c r="D739" s="16"/>
      <c r="E739" s="17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5"/>
    </row>
    <row r="740" ht="12.75" customHeight="1">
      <c r="A740" s="5"/>
      <c r="B740" s="16"/>
      <c r="C740" s="16"/>
      <c r="D740" s="16"/>
      <c r="E740" s="17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5"/>
    </row>
    <row r="741" ht="12.75" customHeight="1">
      <c r="A741" s="5"/>
      <c r="B741" s="16"/>
      <c r="C741" s="16"/>
      <c r="D741" s="16"/>
      <c r="E741" s="17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5"/>
    </row>
    <row r="742" ht="12.75" customHeight="1">
      <c r="A742" s="5"/>
      <c r="B742" s="16"/>
      <c r="C742" s="16"/>
      <c r="D742" s="16"/>
      <c r="E742" s="17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5"/>
    </row>
    <row r="743" ht="12.75" customHeight="1">
      <c r="A743" s="5"/>
      <c r="B743" s="16"/>
      <c r="C743" s="16"/>
      <c r="D743" s="16"/>
      <c r="E743" s="17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5"/>
    </row>
    <row r="744" ht="12.75" customHeight="1">
      <c r="A744" s="5"/>
      <c r="B744" s="16"/>
      <c r="C744" s="16"/>
      <c r="D744" s="16"/>
      <c r="E744" s="17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5"/>
    </row>
    <row r="745" ht="12.75" customHeight="1">
      <c r="A745" s="5"/>
      <c r="B745" s="16"/>
      <c r="C745" s="16"/>
      <c r="D745" s="16"/>
      <c r="E745" s="17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5"/>
    </row>
    <row r="746" ht="12.75" customHeight="1">
      <c r="A746" s="5"/>
      <c r="B746" s="16"/>
      <c r="C746" s="16"/>
      <c r="D746" s="16"/>
      <c r="E746" s="17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5"/>
    </row>
    <row r="747" ht="12.75" customHeight="1">
      <c r="A747" s="5"/>
      <c r="B747" s="16"/>
      <c r="C747" s="16"/>
      <c r="D747" s="16"/>
      <c r="E747" s="17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5"/>
    </row>
    <row r="748" ht="12.75" customHeight="1">
      <c r="A748" s="5"/>
      <c r="B748" s="16"/>
      <c r="C748" s="16"/>
      <c r="D748" s="16"/>
      <c r="E748" s="17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5"/>
    </row>
    <row r="749" ht="12.75" customHeight="1">
      <c r="A749" s="5"/>
      <c r="B749" s="16"/>
      <c r="C749" s="16"/>
      <c r="D749" s="16"/>
      <c r="E749" s="17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5"/>
    </row>
    <row r="750" ht="12.75" customHeight="1">
      <c r="A750" s="5"/>
      <c r="B750" s="16"/>
      <c r="C750" s="16"/>
      <c r="D750" s="16"/>
      <c r="E750" s="17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5"/>
    </row>
    <row r="751" ht="12.75" customHeight="1">
      <c r="A751" s="5"/>
      <c r="B751" s="16"/>
      <c r="C751" s="16"/>
      <c r="D751" s="16"/>
      <c r="E751" s="17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5"/>
    </row>
    <row r="752" ht="12.75" customHeight="1">
      <c r="A752" s="5"/>
      <c r="B752" s="16"/>
      <c r="C752" s="16"/>
      <c r="D752" s="16"/>
      <c r="E752" s="17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5"/>
    </row>
    <row r="753" ht="12.75" customHeight="1">
      <c r="A753" s="5"/>
      <c r="B753" s="16"/>
      <c r="C753" s="16"/>
      <c r="D753" s="16"/>
      <c r="E753" s="17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5"/>
    </row>
    <row r="754" ht="12.75" customHeight="1">
      <c r="A754" s="5"/>
      <c r="B754" s="16"/>
      <c r="C754" s="16"/>
      <c r="D754" s="16"/>
      <c r="E754" s="17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5"/>
    </row>
    <row r="755" ht="12.75" customHeight="1">
      <c r="A755" s="5"/>
      <c r="B755" s="16"/>
      <c r="C755" s="16"/>
      <c r="D755" s="16"/>
      <c r="E755" s="17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5"/>
    </row>
    <row r="756" ht="12.75" customHeight="1">
      <c r="A756" s="5"/>
      <c r="B756" s="16"/>
      <c r="C756" s="16"/>
      <c r="D756" s="16"/>
      <c r="E756" s="17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5"/>
    </row>
    <row r="757" ht="12.75" customHeight="1">
      <c r="A757" s="5"/>
      <c r="B757" s="16"/>
      <c r="C757" s="16"/>
      <c r="D757" s="16"/>
      <c r="E757" s="17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5"/>
    </row>
    <row r="758" ht="12.75" customHeight="1">
      <c r="A758" s="5"/>
      <c r="B758" s="16"/>
      <c r="C758" s="16"/>
      <c r="D758" s="16"/>
      <c r="E758" s="17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5"/>
    </row>
    <row r="759" ht="12.75" customHeight="1">
      <c r="A759" s="5"/>
      <c r="B759" s="16"/>
      <c r="C759" s="16"/>
      <c r="D759" s="16"/>
      <c r="E759" s="17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5"/>
    </row>
    <row r="760" ht="12.75" customHeight="1">
      <c r="A760" s="5"/>
      <c r="B760" s="16"/>
      <c r="C760" s="16"/>
      <c r="D760" s="16"/>
      <c r="E760" s="17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5"/>
    </row>
    <row r="761" ht="12.75" customHeight="1">
      <c r="A761" s="5"/>
      <c r="B761" s="16"/>
      <c r="C761" s="16"/>
      <c r="D761" s="16"/>
      <c r="E761" s="17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5"/>
    </row>
    <row r="762" ht="12.75" customHeight="1">
      <c r="A762" s="5"/>
      <c r="B762" s="16"/>
      <c r="C762" s="16"/>
      <c r="D762" s="16"/>
      <c r="E762" s="17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5"/>
    </row>
    <row r="763" ht="12.75" customHeight="1">
      <c r="A763" s="5"/>
      <c r="B763" s="16"/>
      <c r="C763" s="16"/>
      <c r="D763" s="16"/>
      <c r="E763" s="17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5"/>
    </row>
    <row r="764" ht="12.75" customHeight="1">
      <c r="A764" s="5"/>
      <c r="B764" s="16"/>
      <c r="C764" s="16"/>
      <c r="D764" s="16"/>
      <c r="E764" s="17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5"/>
    </row>
    <row r="765" ht="12.75" customHeight="1">
      <c r="A765" s="5"/>
      <c r="B765" s="16"/>
      <c r="C765" s="16"/>
      <c r="D765" s="16"/>
      <c r="E765" s="17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5"/>
    </row>
    <row r="766" ht="12.75" customHeight="1">
      <c r="A766" s="5"/>
      <c r="B766" s="16"/>
      <c r="C766" s="16"/>
      <c r="D766" s="16"/>
      <c r="E766" s="17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5"/>
    </row>
    <row r="767" ht="12.75" customHeight="1">
      <c r="A767" s="5"/>
      <c r="B767" s="16"/>
      <c r="C767" s="16"/>
      <c r="D767" s="16"/>
      <c r="E767" s="17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5"/>
    </row>
    <row r="768" ht="12.75" customHeight="1">
      <c r="A768" s="5"/>
      <c r="B768" s="16"/>
      <c r="C768" s="16"/>
      <c r="D768" s="16"/>
      <c r="E768" s="17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5"/>
    </row>
    <row r="769" ht="12.75" customHeight="1">
      <c r="A769" s="5"/>
      <c r="B769" s="16"/>
      <c r="C769" s="16"/>
      <c r="D769" s="16"/>
      <c r="E769" s="17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5"/>
    </row>
    <row r="770" ht="12.75" customHeight="1">
      <c r="A770" s="5"/>
      <c r="B770" s="16"/>
      <c r="C770" s="16"/>
      <c r="D770" s="16"/>
      <c r="E770" s="17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5"/>
    </row>
    <row r="771" ht="12.75" customHeight="1">
      <c r="A771" s="5"/>
      <c r="B771" s="16"/>
      <c r="C771" s="16"/>
      <c r="D771" s="16"/>
      <c r="E771" s="17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5"/>
    </row>
    <row r="772" ht="12.75" customHeight="1">
      <c r="A772" s="5"/>
      <c r="B772" s="16"/>
      <c r="C772" s="16"/>
      <c r="D772" s="16"/>
      <c r="E772" s="17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5"/>
    </row>
    <row r="773" ht="12.75" customHeight="1">
      <c r="A773" s="5"/>
      <c r="B773" s="16"/>
      <c r="C773" s="16"/>
      <c r="D773" s="16"/>
      <c r="E773" s="17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5"/>
    </row>
    <row r="774" ht="12.75" customHeight="1">
      <c r="A774" s="5"/>
      <c r="B774" s="16"/>
      <c r="C774" s="16"/>
      <c r="D774" s="16"/>
      <c r="E774" s="17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5"/>
    </row>
    <row r="775" ht="12.75" customHeight="1">
      <c r="A775" s="5"/>
      <c r="B775" s="16"/>
      <c r="C775" s="16"/>
      <c r="D775" s="16"/>
      <c r="E775" s="17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5"/>
    </row>
    <row r="776" ht="12.75" customHeight="1">
      <c r="A776" s="5"/>
      <c r="B776" s="16"/>
      <c r="C776" s="16"/>
      <c r="D776" s="16"/>
      <c r="E776" s="17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5"/>
    </row>
    <row r="777" ht="12.75" customHeight="1">
      <c r="A777" s="5"/>
      <c r="B777" s="16"/>
      <c r="C777" s="16"/>
      <c r="D777" s="16"/>
      <c r="E777" s="17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5"/>
    </row>
    <row r="778" ht="12.75" customHeight="1">
      <c r="A778" s="5"/>
      <c r="B778" s="16"/>
      <c r="C778" s="16"/>
      <c r="D778" s="16"/>
      <c r="E778" s="17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5"/>
    </row>
    <row r="779" ht="12.75" customHeight="1">
      <c r="A779" s="5"/>
      <c r="B779" s="16"/>
      <c r="C779" s="16"/>
      <c r="D779" s="16"/>
      <c r="E779" s="17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5"/>
    </row>
    <row r="780" ht="12.75" customHeight="1">
      <c r="A780" s="5"/>
      <c r="B780" s="16"/>
      <c r="C780" s="16"/>
      <c r="D780" s="16"/>
      <c r="E780" s="17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5"/>
    </row>
    <row r="781" ht="12.75" customHeight="1">
      <c r="A781" s="5"/>
      <c r="B781" s="16"/>
      <c r="C781" s="16"/>
      <c r="D781" s="16"/>
      <c r="E781" s="17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5"/>
    </row>
    <row r="782" ht="12.75" customHeight="1">
      <c r="A782" s="5"/>
      <c r="B782" s="16"/>
      <c r="C782" s="16"/>
      <c r="D782" s="16"/>
      <c r="E782" s="17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5"/>
    </row>
    <row r="783" ht="12.75" customHeight="1">
      <c r="A783" s="5"/>
      <c r="B783" s="16"/>
      <c r="C783" s="16"/>
      <c r="D783" s="16"/>
      <c r="E783" s="17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5"/>
    </row>
    <row r="784" ht="12.75" customHeight="1">
      <c r="A784" s="5"/>
      <c r="B784" s="16"/>
      <c r="C784" s="16"/>
      <c r="D784" s="16"/>
      <c r="E784" s="17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5"/>
    </row>
    <row r="785" ht="12.75" customHeight="1">
      <c r="A785" s="5"/>
      <c r="B785" s="16"/>
      <c r="C785" s="16"/>
      <c r="D785" s="16"/>
      <c r="E785" s="17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5"/>
    </row>
    <row r="786" ht="12.75" customHeight="1">
      <c r="A786" s="5"/>
      <c r="B786" s="16"/>
      <c r="C786" s="16"/>
      <c r="D786" s="16"/>
      <c r="E786" s="17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5"/>
    </row>
    <row r="787" ht="12.75" customHeight="1">
      <c r="A787" s="5"/>
      <c r="B787" s="16"/>
      <c r="C787" s="16"/>
      <c r="D787" s="16"/>
      <c r="E787" s="17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5"/>
    </row>
    <row r="788" ht="12.75" customHeight="1">
      <c r="A788" s="5"/>
      <c r="B788" s="16"/>
      <c r="C788" s="16"/>
      <c r="D788" s="16"/>
      <c r="E788" s="17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5"/>
    </row>
    <row r="789" ht="12.75" customHeight="1">
      <c r="A789" s="5"/>
      <c r="B789" s="16"/>
      <c r="C789" s="16"/>
      <c r="D789" s="16"/>
      <c r="E789" s="17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5"/>
    </row>
    <row r="790" ht="12.75" customHeight="1">
      <c r="A790" s="5"/>
      <c r="B790" s="16"/>
      <c r="C790" s="16"/>
      <c r="D790" s="16"/>
      <c r="E790" s="17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5"/>
    </row>
    <row r="791" ht="12.75" customHeight="1">
      <c r="A791" s="5"/>
      <c r="B791" s="16"/>
      <c r="C791" s="16"/>
      <c r="D791" s="16"/>
      <c r="E791" s="17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5"/>
    </row>
    <row r="792" ht="12.75" customHeight="1">
      <c r="A792" s="5"/>
      <c r="B792" s="16"/>
      <c r="C792" s="16"/>
      <c r="D792" s="16"/>
      <c r="E792" s="17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5"/>
    </row>
    <row r="793" ht="12.75" customHeight="1">
      <c r="A793" s="5"/>
      <c r="B793" s="16"/>
      <c r="C793" s="16"/>
      <c r="D793" s="16"/>
      <c r="E793" s="17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5"/>
    </row>
    <row r="794" ht="12.75" customHeight="1">
      <c r="A794" s="5"/>
      <c r="B794" s="16"/>
      <c r="C794" s="16"/>
      <c r="D794" s="16"/>
      <c r="E794" s="17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5"/>
    </row>
    <row r="795" ht="12.75" customHeight="1">
      <c r="A795" s="5"/>
      <c r="B795" s="16"/>
      <c r="C795" s="16"/>
      <c r="D795" s="16"/>
      <c r="E795" s="17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5"/>
    </row>
    <row r="796" ht="12.75" customHeight="1">
      <c r="A796" s="5"/>
      <c r="B796" s="16"/>
      <c r="C796" s="16"/>
      <c r="D796" s="16"/>
      <c r="E796" s="17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5"/>
    </row>
    <row r="797" ht="12.75" customHeight="1">
      <c r="A797" s="5"/>
      <c r="B797" s="16"/>
      <c r="C797" s="16"/>
      <c r="D797" s="16"/>
      <c r="E797" s="17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5"/>
    </row>
    <row r="798" ht="12.75" customHeight="1">
      <c r="A798" s="5"/>
      <c r="B798" s="16"/>
      <c r="C798" s="16"/>
      <c r="D798" s="16"/>
      <c r="E798" s="17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5"/>
    </row>
    <row r="799" ht="12.75" customHeight="1">
      <c r="A799" s="5"/>
      <c r="B799" s="16"/>
      <c r="C799" s="16"/>
      <c r="D799" s="16"/>
      <c r="E799" s="17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5"/>
    </row>
    <row r="800" ht="12.75" customHeight="1">
      <c r="A800" s="5"/>
      <c r="B800" s="16"/>
      <c r="C800" s="16"/>
      <c r="D800" s="16"/>
      <c r="E800" s="17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5"/>
    </row>
    <row r="801" ht="12.75" customHeight="1">
      <c r="A801" s="5"/>
      <c r="B801" s="16"/>
      <c r="C801" s="16"/>
      <c r="D801" s="16"/>
      <c r="E801" s="17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5"/>
    </row>
    <row r="802" ht="12.75" customHeight="1">
      <c r="A802" s="5"/>
      <c r="B802" s="16"/>
      <c r="C802" s="16"/>
      <c r="D802" s="16"/>
      <c r="E802" s="17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5"/>
    </row>
    <row r="803" ht="12.75" customHeight="1">
      <c r="A803" s="5"/>
      <c r="B803" s="16"/>
      <c r="C803" s="16"/>
      <c r="D803" s="16"/>
      <c r="E803" s="17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5"/>
    </row>
    <row r="804" ht="12.75" customHeight="1">
      <c r="A804" s="5"/>
      <c r="B804" s="16"/>
      <c r="C804" s="16"/>
      <c r="D804" s="16"/>
      <c r="E804" s="17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5"/>
    </row>
    <row r="805" ht="12.75" customHeight="1">
      <c r="A805" s="5"/>
      <c r="B805" s="16"/>
      <c r="C805" s="16"/>
      <c r="D805" s="16"/>
      <c r="E805" s="17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5"/>
    </row>
    <row r="806" ht="12.75" customHeight="1">
      <c r="A806" s="5"/>
      <c r="B806" s="16"/>
      <c r="C806" s="16"/>
      <c r="D806" s="16"/>
      <c r="E806" s="17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5"/>
    </row>
    <row r="807" ht="12.75" customHeight="1">
      <c r="A807" s="5"/>
      <c r="B807" s="16"/>
      <c r="C807" s="16"/>
      <c r="D807" s="16"/>
      <c r="E807" s="17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5"/>
    </row>
    <row r="808" ht="12.75" customHeight="1">
      <c r="A808" s="5"/>
      <c r="B808" s="16"/>
      <c r="C808" s="16"/>
      <c r="D808" s="16"/>
      <c r="E808" s="17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5"/>
    </row>
    <row r="809" ht="12.75" customHeight="1">
      <c r="A809" s="5"/>
      <c r="B809" s="16"/>
      <c r="C809" s="16"/>
      <c r="D809" s="16"/>
      <c r="E809" s="17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5"/>
    </row>
    <row r="810" ht="12.75" customHeight="1">
      <c r="A810" s="5"/>
      <c r="B810" s="16"/>
      <c r="C810" s="16"/>
      <c r="D810" s="16"/>
      <c r="E810" s="17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5"/>
    </row>
    <row r="811" ht="12.75" customHeight="1">
      <c r="A811" s="5"/>
      <c r="B811" s="16"/>
      <c r="C811" s="16"/>
      <c r="D811" s="16"/>
      <c r="E811" s="17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5"/>
    </row>
    <row r="812" ht="12.75" customHeight="1">
      <c r="A812" s="5"/>
      <c r="B812" s="16"/>
      <c r="C812" s="16"/>
      <c r="D812" s="16"/>
      <c r="E812" s="17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5"/>
    </row>
    <row r="813" ht="12.75" customHeight="1">
      <c r="A813" s="5"/>
      <c r="B813" s="16"/>
      <c r="C813" s="16"/>
      <c r="D813" s="16"/>
      <c r="E813" s="17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5"/>
    </row>
    <row r="814" ht="12.75" customHeight="1">
      <c r="A814" s="5"/>
      <c r="B814" s="16"/>
      <c r="C814" s="16"/>
      <c r="D814" s="16"/>
      <c r="E814" s="17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5"/>
    </row>
    <row r="815" ht="12.75" customHeight="1">
      <c r="A815" s="5"/>
      <c r="B815" s="16"/>
      <c r="C815" s="16"/>
      <c r="D815" s="16"/>
      <c r="E815" s="17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5"/>
    </row>
    <row r="816" ht="12.75" customHeight="1">
      <c r="A816" s="5"/>
      <c r="B816" s="16"/>
      <c r="C816" s="16"/>
      <c r="D816" s="16"/>
      <c r="E816" s="17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5"/>
    </row>
    <row r="817" ht="12.75" customHeight="1">
      <c r="A817" s="5"/>
      <c r="B817" s="16"/>
      <c r="C817" s="16"/>
      <c r="D817" s="16"/>
      <c r="E817" s="17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5"/>
    </row>
    <row r="818" ht="12.75" customHeight="1">
      <c r="A818" s="5"/>
      <c r="B818" s="16"/>
      <c r="C818" s="16"/>
      <c r="D818" s="16"/>
      <c r="E818" s="17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5"/>
    </row>
    <row r="819" ht="12.75" customHeight="1">
      <c r="A819" s="5"/>
      <c r="B819" s="16"/>
      <c r="C819" s="16"/>
      <c r="D819" s="16"/>
      <c r="E819" s="17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5"/>
    </row>
    <row r="820" ht="12.75" customHeight="1">
      <c r="A820" s="5"/>
      <c r="B820" s="16"/>
      <c r="C820" s="16"/>
      <c r="D820" s="16"/>
      <c r="E820" s="17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5"/>
    </row>
    <row r="821" ht="12.75" customHeight="1">
      <c r="A821" s="5"/>
      <c r="B821" s="16"/>
      <c r="C821" s="16"/>
      <c r="D821" s="16"/>
      <c r="E821" s="17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5"/>
    </row>
    <row r="822" ht="12.75" customHeight="1">
      <c r="A822" s="5"/>
      <c r="B822" s="16"/>
      <c r="C822" s="16"/>
      <c r="D822" s="16"/>
      <c r="E822" s="17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5"/>
    </row>
    <row r="823" ht="12.75" customHeight="1">
      <c r="A823" s="5"/>
      <c r="B823" s="16"/>
      <c r="C823" s="16"/>
      <c r="D823" s="16"/>
      <c r="E823" s="17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5"/>
    </row>
    <row r="824" ht="12.75" customHeight="1">
      <c r="A824" s="5"/>
      <c r="B824" s="16"/>
      <c r="C824" s="16"/>
      <c r="D824" s="16"/>
      <c r="E824" s="17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5"/>
    </row>
    <row r="825" ht="12.75" customHeight="1">
      <c r="A825" s="5"/>
      <c r="B825" s="16"/>
      <c r="C825" s="16"/>
      <c r="D825" s="16"/>
      <c r="E825" s="17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5"/>
    </row>
    <row r="826" ht="12.75" customHeight="1">
      <c r="A826" s="5"/>
      <c r="B826" s="16"/>
      <c r="C826" s="16"/>
      <c r="D826" s="16"/>
      <c r="E826" s="17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5"/>
    </row>
    <row r="827" ht="12.75" customHeight="1">
      <c r="A827" s="5"/>
      <c r="B827" s="16"/>
      <c r="C827" s="16"/>
      <c r="D827" s="16"/>
      <c r="E827" s="17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5"/>
    </row>
    <row r="828" ht="12.75" customHeight="1">
      <c r="A828" s="5"/>
      <c r="B828" s="16"/>
      <c r="C828" s="16"/>
      <c r="D828" s="16"/>
      <c r="E828" s="17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5"/>
    </row>
    <row r="829" ht="12.75" customHeight="1">
      <c r="A829" s="5"/>
      <c r="B829" s="16"/>
      <c r="C829" s="16"/>
      <c r="D829" s="16"/>
      <c r="E829" s="17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5"/>
    </row>
    <row r="830" ht="12.75" customHeight="1">
      <c r="A830" s="5"/>
      <c r="B830" s="16"/>
      <c r="C830" s="16"/>
      <c r="D830" s="16"/>
      <c r="E830" s="17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5"/>
    </row>
    <row r="831" ht="12.75" customHeight="1">
      <c r="A831" s="5"/>
      <c r="B831" s="16"/>
      <c r="C831" s="16"/>
      <c r="D831" s="16"/>
      <c r="E831" s="17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5"/>
    </row>
    <row r="832" ht="12.75" customHeight="1">
      <c r="A832" s="5"/>
      <c r="B832" s="16"/>
      <c r="C832" s="16"/>
      <c r="D832" s="16"/>
      <c r="E832" s="17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5"/>
    </row>
    <row r="833" ht="12.75" customHeight="1">
      <c r="A833" s="5"/>
      <c r="B833" s="16"/>
      <c r="C833" s="16"/>
      <c r="D833" s="16"/>
      <c r="E833" s="17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5"/>
    </row>
    <row r="834" ht="12.75" customHeight="1">
      <c r="A834" s="5"/>
      <c r="B834" s="16"/>
      <c r="C834" s="16"/>
      <c r="D834" s="16"/>
      <c r="E834" s="17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5"/>
    </row>
    <row r="835" ht="12.75" customHeight="1">
      <c r="A835" s="5"/>
      <c r="B835" s="16"/>
      <c r="C835" s="16"/>
      <c r="D835" s="16"/>
      <c r="E835" s="17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5"/>
    </row>
    <row r="836" ht="12.75" customHeight="1">
      <c r="A836" s="5"/>
      <c r="B836" s="16"/>
      <c r="C836" s="16"/>
      <c r="D836" s="16"/>
      <c r="E836" s="17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5"/>
    </row>
    <row r="837" ht="12.75" customHeight="1">
      <c r="A837" s="5"/>
      <c r="B837" s="16"/>
      <c r="C837" s="16"/>
      <c r="D837" s="16"/>
      <c r="E837" s="17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5"/>
    </row>
    <row r="838" ht="12.75" customHeight="1">
      <c r="A838" s="5"/>
      <c r="B838" s="16"/>
      <c r="C838" s="16"/>
      <c r="D838" s="16"/>
      <c r="E838" s="17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5"/>
    </row>
    <row r="839" ht="12.75" customHeight="1">
      <c r="A839" s="5"/>
      <c r="B839" s="16"/>
      <c r="C839" s="16"/>
      <c r="D839" s="16"/>
      <c r="E839" s="17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5"/>
    </row>
    <row r="840" ht="12.75" customHeight="1">
      <c r="A840" s="5"/>
      <c r="B840" s="16"/>
      <c r="C840" s="16"/>
      <c r="D840" s="16"/>
      <c r="E840" s="17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5"/>
    </row>
    <row r="841" ht="12.75" customHeight="1">
      <c r="A841" s="5"/>
      <c r="B841" s="16"/>
      <c r="C841" s="16"/>
      <c r="D841" s="16"/>
      <c r="E841" s="17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5"/>
    </row>
    <row r="842" ht="12.75" customHeight="1">
      <c r="A842" s="5"/>
      <c r="B842" s="16"/>
      <c r="C842" s="16"/>
      <c r="D842" s="16"/>
      <c r="E842" s="17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5"/>
    </row>
    <row r="843" ht="12.75" customHeight="1">
      <c r="A843" s="5"/>
      <c r="B843" s="16"/>
      <c r="C843" s="16"/>
      <c r="D843" s="16"/>
      <c r="E843" s="17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5"/>
    </row>
    <row r="844" ht="12.75" customHeight="1">
      <c r="A844" s="5"/>
      <c r="B844" s="16"/>
      <c r="C844" s="16"/>
      <c r="D844" s="16"/>
      <c r="E844" s="17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5"/>
    </row>
    <row r="845" ht="12.75" customHeight="1">
      <c r="A845" s="5"/>
      <c r="B845" s="16"/>
      <c r="C845" s="16"/>
      <c r="D845" s="16"/>
      <c r="E845" s="17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5"/>
    </row>
    <row r="846" ht="12.75" customHeight="1">
      <c r="A846" s="5"/>
      <c r="B846" s="16"/>
      <c r="C846" s="16"/>
      <c r="D846" s="16"/>
      <c r="E846" s="17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5"/>
    </row>
    <row r="847" ht="12.75" customHeight="1">
      <c r="A847" s="5"/>
      <c r="B847" s="16"/>
      <c r="C847" s="16"/>
      <c r="D847" s="16"/>
      <c r="E847" s="17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5"/>
    </row>
    <row r="848" ht="12.75" customHeight="1">
      <c r="A848" s="5"/>
      <c r="B848" s="16"/>
      <c r="C848" s="16"/>
      <c r="D848" s="16"/>
      <c r="E848" s="17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5"/>
    </row>
    <row r="849" ht="12.75" customHeight="1">
      <c r="A849" s="5"/>
      <c r="B849" s="16"/>
      <c r="C849" s="16"/>
      <c r="D849" s="16"/>
      <c r="E849" s="17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5"/>
    </row>
    <row r="850" ht="12.75" customHeight="1">
      <c r="A850" s="5"/>
      <c r="B850" s="16"/>
      <c r="C850" s="16"/>
      <c r="D850" s="16"/>
      <c r="E850" s="17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5"/>
    </row>
    <row r="851" ht="12.75" customHeight="1">
      <c r="A851" s="5"/>
      <c r="B851" s="16"/>
      <c r="C851" s="16"/>
      <c r="D851" s="16"/>
      <c r="E851" s="17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5"/>
    </row>
    <row r="852" ht="12.75" customHeight="1">
      <c r="A852" s="5"/>
      <c r="B852" s="16"/>
      <c r="C852" s="16"/>
      <c r="D852" s="16"/>
      <c r="E852" s="17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5"/>
    </row>
    <row r="853" ht="12.75" customHeight="1">
      <c r="A853" s="5"/>
      <c r="B853" s="16"/>
      <c r="C853" s="16"/>
      <c r="D853" s="16"/>
      <c r="E853" s="17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5"/>
    </row>
    <row r="854" ht="12.75" customHeight="1">
      <c r="A854" s="5"/>
      <c r="B854" s="16"/>
      <c r="C854" s="16"/>
      <c r="D854" s="16"/>
      <c r="E854" s="17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5"/>
    </row>
    <row r="855" ht="12.75" customHeight="1">
      <c r="A855" s="5"/>
      <c r="B855" s="16"/>
      <c r="C855" s="16"/>
      <c r="D855" s="16"/>
      <c r="E855" s="17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5"/>
    </row>
    <row r="856" ht="12.75" customHeight="1">
      <c r="A856" s="5"/>
      <c r="B856" s="16"/>
      <c r="C856" s="16"/>
      <c r="D856" s="16"/>
      <c r="E856" s="17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5"/>
    </row>
    <row r="857" ht="12.75" customHeight="1">
      <c r="A857" s="5"/>
      <c r="B857" s="16"/>
      <c r="C857" s="16"/>
      <c r="D857" s="16"/>
      <c r="E857" s="17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5"/>
    </row>
    <row r="858" ht="12.75" customHeight="1">
      <c r="A858" s="5"/>
      <c r="B858" s="16"/>
      <c r="C858" s="16"/>
      <c r="D858" s="16"/>
      <c r="E858" s="17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5"/>
    </row>
    <row r="859" ht="12.75" customHeight="1">
      <c r="A859" s="5"/>
      <c r="B859" s="16"/>
      <c r="C859" s="16"/>
      <c r="D859" s="16"/>
      <c r="E859" s="17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5"/>
    </row>
    <row r="860" ht="12.75" customHeight="1">
      <c r="A860" s="5"/>
      <c r="B860" s="16"/>
      <c r="C860" s="16"/>
      <c r="D860" s="16"/>
      <c r="E860" s="17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5"/>
    </row>
    <row r="861" ht="12.75" customHeight="1">
      <c r="A861" s="5"/>
      <c r="B861" s="16"/>
      <c r="C861" s="16"/>
      <c r="D861" s="16"/>
      <c r="E861" s="17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5"/>
    </row>
    <row r="862" ht="12.75" customHeight="1">
      <c r="A862" s="5"/>
      <c r="B862" s="16"/>
      <c r="C862" s="16"/>
      <c r="D862" s="16"/>
      <c r="E862" s="17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5"/>
    </row>
    <row r="863" ht="12.75" customHeight="1">
      <c r="A863" s="5"/>
      <c r="B863" s="16"/>
      <c r="C863" s="16"/>
      <c r="D863" s="16"/>
      <c r="E863" s="17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5"/>
    </row>
    <row r="864" ht="12.75" customHeight="1">
      <c r="A864" s="5"/>
      <c r="B864" s="16"/>
      <c r="C864" s="16"/>
      <c r="D864" s="16"/>
      <c r="E864" s="17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5"/>
    </row>
    <row r="865" ht="12.75" customHeight="1">
      <c r="A865" s="5"/>
      <c r="B865" s="16"/>
      <c r="C865" s="16"/>
      <c r="D865" s="16"/>
      <c r="E865" s="17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5"/>
    </row>
    <row r="866" ht="12.75" customHeight="1">
      <c r="A866" s="5"/>
      <c r="B866" s="16"/>
      <c r="C866" s="16"/>
      <c r="D866" s="16"/>
      <c r="E866" s="17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5"/>
    </row>
    <row r="867" ht="12.75" customHeight="1">
      <c r="A867" s="5"/>
      <c r="B867" s="16"/>
      <c r="C867" s="16"/>
      <c r="D867" s="16"/>
      <c r="E867" s="17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5"/>
    </row>
    <row r="868" ht="12.75" customHeight="1">
      <c r="A868" s="5"/>
      <c r="B868" s="16"/>
      <c r="C868" s="16"/>
      <c r="D868" s="16"/>
      <c r="E868" s="17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5"/>
    </row>
    <row r="869" ht="12.75" customHeight="1">
      <c r="A869" s="5"/>
      <c r="B869" s="16"/>
      <c r="C869" s="16"/>
      <c r="D869" s="16"/>
      <c r="E869" s="17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5"/>
    </row>
    <row r="870" ht="12.75" customHeight="1">
      <c r="A870" s="5"/>
      <c r="B870" s="16"/>
      <c r="C870" s="16"/>
      <c r="D870" s="16"/>
      <c r="E870" s="17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5"/>
    </row>
    <row r="871" ht="12.75" customHeight="1">
      <c r="A871" s="5"/>
      <c r="B871" s="16"/>
      <c r="C871" s="16"/>
      <c r="D871" s="16"/>
      <c r="E871" s="17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5"/>
    </row>
    <row r="872" ht="12.75" customHeight="1">
      <c r="A872" s="5"/>
      <c r="B872" s="16"/>
      <c r="C872" s="16"/>
      <c r="D872" s="16"/>
      <c r="E872" s="17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5"/>
    </row>
    <row r="873" ht="12.75" customHeight="1">
      <c r="A873" s="5"/>
      <c r="B873" s="16"/>
      <c r="C873" s="16"/>
      <c r="D873" s="16"/>
      <c r="E873" s="17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5"/>
    </row>
    <row r="874" ht="12.75" customHeight="1">
      <c r="A874" s="5"/>
      <c r="B874" s="16"/>
      <c r="C874" s="16"/>
      <c r="D874" s="16"/>
      <c r="E874" s="17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5"/>
    </row>
    <row r="875" ht="12.75" customHeight="1">
      <c r="A875" s="5"/>
      <c r="B875" s="16"/>
      <c r="C875" s="16"/>
      <c r="D875" s="16"/>
      <c r="E875" s="17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5"/>
    </row>
    <row r="876" ht="12.75" customHeight="1">
      <c r="A876" s="5"/>
      <c r="B876" s="16"/>
      <c r="C876" s="16"/>
      <c r="D876" s="16"/>
      <c r="E876" s="17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5"/>
    </row>
    <row r="877" ht="12.75" customHeight="1">
      <c r="A877" s="5"/>
      <c r="B877" s="16"/>
      <c r="C877" s="16"/>
      <c r="D877" s="16"/>
      <c r="E877" s="17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5"/>
    </row>
    <row r="878" ht="12.75" customHeight="1">
      <c r="A878" s="5"/>
      <c r="B878" s="16"/>
      <c r="C878" s="16"/>
      <c r="D878" s="16"/>
      <c r="E878" s="17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5"/>
    </row>
    <row r="879" ht="12.75" customHeight="1">
      <c r="A879" s="5"/>
      <c r="B879" s="16"/>
      <c r="C879" s="16"/>
      <c r="D879" s="16"/>
      <c r="E879" s="17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5"/>
    </row>
    <row r="880" ht="12.75" customHeight="1">
      <c r="A880" s="5"/>
      <c r="B880" s="16"/>
      <c r="C880" s="16"/>
      <c r="D880" s="16"/>
      <c r="E880" s="17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5"/>
    </row>
    <row r="881" ht="12.75" customHeight="1">
      <c r="A881" s="5"/>
      <c r="B881" s="16"/>
      <c r="C881" s="16"/>
      <c r="D881" s="16"/>
      <c r="E881" s="17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5"/>
    </row>
    <row r="882" ht="12.75" customHeight="1">
      <c r="A882" s="5"/>
      <c r="B882" s="16"/>
      <c r="C882" s="16"/>
      <c r="D882" s="16"/>
      <c r="E882" s="17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5"/>
    </row>
    <row r="883" ht="12.75" customHeight="1">
      <c r="A883" s="5"/>
      <c r="B883" s="16"/>
      <c r="C883" s="16"/>
      <c r="D883" s="16"/>
      <c r="E883" s="17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5"/>
    </row>
    <row r="884" ht="12.75" customHeight="1">
      <c r="A884" s="5"/>
      <c r="B884" s="16"/>
      <c r="C884" s="16"/>
      <c r="D884" s="16"/>
      <c r="E884" s="17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5"/>
    </row>
    <row r="885" ht="12.75" customHeight="1">
      <c r="A885" s="5"/>
      <c r="B885" s="16"/>
      <c r="C885" s="16"/>
      <c r="D885" s="16"/>
      <c r="E885" s="17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5"/>
    </row>
    <row r="886" ht="12.75" customHeight="1">
      <c r="A886" s="5"/>
      <c r="B886" s="16"/>
      <c r="C886" s="16"/>
      <c r="D886" s="16"/>
      <c r="E886" s="17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5"/>
    </row>
    <row r="887" ht="12.75" customHeight="1">
      <c r="A887" s="5"/>
      <c r="B887" s="16"/>
      <c r="C887" s="16"/>
      <c r="D887" s="16"/>
      <c r="E887" s="17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5"/>
    </row>
    <row r="888" ht="12.75" customHeight="1">
      <c r="A888" s="5"/>
      <c r="B888" s="16"/>
      <c r="C888" s="16"/>
      <c r="D888" s="16"/>
      <c r="E888" s="17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5"/>
    </row>
    <row r="889" ht="12.75" customHeight="1">
      <c r="A889" s="5"/>
      <c r="B889" s="16"/>
      <c r="C889" s="16"/>
      <c r="D889" s="16"/>
      <c r="E889" s="17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5"/>
    </row>
    <row r="890" ht="12.75" customHeight="1">
      <c r="A890" s="5"/>
      <c r="B890" s="16"/>
      <c r="C890" s="16"/>
      <c r="D890" s="16"/>
      <c r="E890" s="17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5"/>
    </row>
    <row r="891" ht="12.75" customHeight="1">
      <c r="A891" s="5"/>
      <c r="B891" s="16"/>
      <c r="C891" s="16"/>
      <c r="D891" s="16"/>
      <c r="E891" s="17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5"/>
    </row>
    <row r="892" ht="12.75" customHeight="1">
      <c r="A892" s="5"/>
      <c r="B892" s="16"/>
      <c r="C892" s="16"/>
      <c r="D892" s="16"/>
      <c r="E892" s="17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5"/>
    </row>
    <row r="893" ht="12.75" customHeight="1">
      <c r="A893" s="5"/>
      <c r="B893" s="16"/>
      <c r="C893" s="16"/>
      <c r="D893" s="16"/>
      <c r="E893" s="17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5"/>
    </row>
    <row r="894" ht="12.75" customHeight="1">
      <c r="A894" s="5"/>
      <c r="B894" s="16"/>
      <c r="C894" s="16"/>
      <c r="D894" s="16"/>
      <c r="E894" s="17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5"/>
    </row>
    <row r="895" ht="12.75" customHeight="1">
      <c r="A895" s="5"/>
      <c r="B895" s="16"/>
      <c r="C895" s="16"/>
      <c r="D895" s="16"/>
      <c r="E895" s="17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5"/>
    </row>
    <row r="896" ht="12.75" customHeight="1">
      <c r="A896" s="5"/>
      <c r="B896" s="16"/>
      <c r="C896" s="16"/>
      <c r="D896" s="16"/>
      <c r="E896" s="17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5"/>
    </row>
    <row r="897" ht="12.75" customHeight="1">
      <c r="A897" s="5"/>
      <c r="B897" s="16"/>
      <c r="C897" s="16"/>
      <c r="D897" s="16"/>
      <c r="E897" s="17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5"/>
    </row>
    <row r="898" ht="12.75" customHeight="1">
      <c r="A898" s="5"/>
      <c r="B898" s="16"/>
      <c r="C898" s="16"/>
      <c r="D898" s="16"/>
      <c r="E898" s="17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5"/>
    </row>
    <row r="899" ht="12.75" customHeight="1">
      <c r="A899" s="5"/>
      <c r="B899" s="16"/>
      <c r="C899" s="16"/>
      <c r="D899" s="16"/>
      <c r="E899" s="17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5"/>
    </row>
    <row r="900" ht="12.75" customHeight="1">
      <c r="A900" s="5"/>
      <c r="B900" s="16"/>
      <c r="C900" s="16"/>
      <c r="D900" s="16"/>
      <c r="E900" s="17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5"/>
    </row>
    <row r="901" ht="12.75" customHeight="1">
      <c r="A901" s="5"/>
      <c r="B901" s="16"/>
      <c r="C901" s="16"/>
      <c r="D901" s="16"/>
      <c r="E901" s="17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5"/>
    </row>
    <row r="902" ht="12.75" customHeight="1">
      <c r="A902" s="5"/>
      <c r="B902" s="16"/>
      <c r="C902" s="16"/>
      <c r="D902" s="16"/>
      <c r="E902" s="17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5"/>
    </row>
    <row r="903" ht="12.75" customHeight="1">
      <c r="A903" s="5"/>
      <c r="B903" s="16"/>
      <c r="C903" s="16"/>
      <c r="D903" s="16"/>
      <c r="E903" s="17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5"/>
    </row>
    <row r="904" ht="12.75" customHeight="1">
      <c r="A904" s="5"/>
      <c r="B904" s="16"/>
      <c r="C904" s="16"/>
      <c r="D904" s="16"/>
      <c r="E904" s="17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5"/>
    </row>
    <row r="905" ht="12.75" customHeight="1">
      <c r="A905" s="5"/>
      <c r="B905" s="16"/>
      <c r="C905" s="16"/>
      <c r="D905" s="16"/>
      <c r="E905" s="17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5"/>
    </row>
    <row r="906" ht="12.75" customHeight="1">
      <c r="A906" s="5"/>
      <c r="B906" s="16"/>
      <c r="C906" s="16"/>
      <c r="D906" s="16"/>
      <c r="E906" s="17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5"/>
    </row>
    <row r="907" ht="12.75" customHeight="1">
      <c r="A907" s="5"/>
      <c r="B907" s="16"/>
      <c r="C907" s="16"/>
      <c r="D907" s="16"/>
      <c r="E907" s="17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5"/>
    </row>
    <row r="908" ht="12.75" customHeight="1">
      <c r="A908" s="5"/>
      <c r="B908" s="16"/>
      <c r="C908" s="16"/>
      <c r="D908" s="16"/>
      <c r="E908" s="17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5"/>
    </row>
    <row r="909" ht="12.75" customHeight="1">
      <c r="A909" s="5"/>
      <c r="B909" s="16"/>
      <c r="C909" s="16"/>
      <c r="D909" s="16"/>
      <c r="E909" s="17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5"/>
    </row>
    <row r="910" ht="12.75" customHeight="1">
      <c r="A910" s="5"/>
      <c r="B910" s="16"/>
      <c r="C910" s="16"/>
      <c r="D910" s="16"/>
      <c r="E910" s="17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5"/>
    </row>
    <row r="911" ht="12.75" customHeight="1">
      <c r="A911" s="5"/>
      <c r="B911" s="16"/>
      <c r="C911" s="16"/>
      <c r="D911" s="16"/>
      <c r="E911" s="17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5"/>
    </row>
    <row r="912" ht="12.75" customHeight="1">
      <c r="A912" s="5"/>
      <c r="B912" s="16"/>
      <c r="C912" s="16"/>
      <c r="D912" s="16"/>
      <c r="E912" s="17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5"/>
    </row>
    <row r="913" ht="12.75" customHeight="1">
      <c r="A913" s="5"/>
      <c r="B913" s="16"/>
      <c r="C913" s="16"/>
      <c r="D913" s="16"/>
      <c r="E913" s="17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5"/>
    </row>
    <row r="914" ht="12.75" customHeight="1">
      <c r="A914" s="5"/>
      <c r="B914" s="16"/>
      <c r="C914" s="16"/>
      <c r="D914" s="16"/>
      <c r="E914" s="17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5"/>
    </row>
    <row r="915" ht="12.75" customHeight="1">
      <c r="A915" s="5"/>
      <c r="B915" s="16"/>
      <c r="C915" s="16"/>
      <c r="D915" s="16"/>
      <c r="E915" s="17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5"/>
    </row>
    <row r="916" ht="12.75" customHeight="1">
      <c r="A916" s="5"/>
      <c r="B916" s="16"/>
      <c r="C916" s="16"/>
      <c r="D916" s="16"/>
      <c r="E916" s="17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5"/>
    </row>
    <row r="917" ht="12.75" customHeight="1">
      <c r="A917" s="5"/>
      <c r="B917" s="16"/>
      <c r="C917" s="16"/>
      <c r="D917" s="16"/>
      <c r="E917" s="17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5"/>
    </row>
    <row r="918" ht="12.75" customHeight="1">
      <c r="A918" s="5"/>
      <c r="B918" s="16"/>
      <c r="C918" s="16"/>
      <c r="D918" s="16"/>
      <c r="E918" s="17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5"/>
    </row>
    <row r="919" ht="12.75" customHeight="1">
      <c r="A919" s="5"/>
      <c r="B919" s="16"/>
      <c r="C919" s="16"/>
      <c r="D919" s="16"/>
      <c r="E919" s="17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5"/>
    </row>
    <row r="920" ht="12.75" customHeight="1">
      <c r="A920" s="5"/>
      <c r="B920" s="16"/>
      <c r="C920" s="16"/>
      <c r="D920" s="16"/>
      <c r="E920" s="17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5"/>
    </row>
    <row r="921" ht="12.75" customHeight="1">
      <c r="A921" s="5"/>
      <c r="B921" s="16"/>
      <c r="C921" s="16"/>
      <c r="D921" s="16"/>
      <c r="E921" s="17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5"/>
    </row>
    <row r="922" ht="12.75" customHeight="1">
      <c r="A922" s="5"/>
      <c r="B922" s="16"/>
      <c r="C922" s="16"/>
      <c r="D922" s="16"/>
      <c r="E922" s="17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5"/>
    </row>
    <row r="923" ht="12.75" customHeight="1">
      <c r="A923" s="5"/>
      <c r="B923" s="16"/>
      <c r="C923" s="16"/>
      <c r="D923" s="16"/>
      <c r="E923" s="17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5"/>
    </row>
    <row r="924" ht="12.75" customHeight="1">
      <c r="A924" s="5"/>
      <c r="B924" s="16"/>
      <c r="C924" s="16"/>
      <c r="D924" s="16"/>
      <c r="E924" s="17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5"/>
    </row>
    <row r="925" ht="12.75" customHeight="1">
      <c r="A925" s="5"/>
      <c r="B925" s="16"/>
      <c r="C925" s="16"/>
      <c r="D925" s="16"/>
      <c r="E925" s="17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5"/>
    </row>
    <row r="926" ht="12.75" customHeight="1">
      <c r="A926" s="5"/>
      <c r="B926" s="16"/>
      <c r="C926" s="16"/>
      <c r="D926" s="16"/>
      <c r="E926" s="17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5"/>
    </row>
    <row r="927" ht="12.75" customHeight="1">
      <c r="A927" s="5"/>
      <c r="B927" s="16"/>
      <c r="C927" s="16"/>
      <c r="D927" s="16"/>
      <c r="E927" s="17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5"/>
    </row>
    <row r="928" ht="12.75" customHeight="1">
      <c r="A928" s="5"/>
      <c r="B928" s="16"/>
      <c r="C928" s="16"/>
      <c r="D928" s="16"/>
      <c r="E928" s="17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5"/>
    </row>
    <row r="929" ht="12.75" customHeight="1">
      <c r="A929" s="5"/>
      <c r="B929" s="16"/>
      <c r="C929" s="16"/>
      <c r="D929" s="16"/>
      <c r="E929" s="17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5"/>
    </row>
    <row r="930" ht="12.75" customHeight="1">
      <c r="A930" s="5"/>
      <c r="B930" s="16"/>
      <c r="C930" s="16"/>
      <c r="D930" s="16"/>
      <c r="E930" s="17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5"/>
    </row>
    <row r="931" ht="12.75" customHeight="1">
      <c r="A931" s="5"/>
      <c r="B931" s="16"/>
      <c r="C931" s="16"/>
      <c r="D931" s="16"/>
      <c r="E931" s="17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5"/>
    </row>
    <row r="932" ht="12.75" customHeight="1">
      <c r="A932" s="5"/>
      <c r="B932" s="16"/>
      <c r="C932" s="16"/>
      <c r="D932" s="16"/>
      <c r="E932" s="17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5"/>
    </row>
    <row r="933" ht="12.75" customHeight="1">
      <c r="A933" s="5"/>
      <c r="B933" s="16"/>
      <c r="C933" s="16"/>
      <c r="D933" s="16"/>
      <c r="E933" s="17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5"/>
    </row>
    <row r="934" ht="12.75" customHeight="1">
      <c r="A934" s="5"/>
      <c r="B934" s="16"/>
      <c r="C934" s="16"/>
      <c r="D934" s="16"/>
      <c r="E934" s="17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5"/>
    </row>
    <row r="935" ht="12.75" customHeight="1">
      <c r="A935" s="5"/>
      <c r="B935" s="16"/>
      <c r="C935" s="16"/>
      <c r="D935" s="16"/>
      <c r="E935" s="17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5"/>
    </row>
    <row r="936" ht="12.75" customHeight="1">
      <c r="A936" s="5"/>
      <c r="B936" s="16"/>
      <c r="C936" s="16"/>
      <c r="D936" s="16"/>
      <c r="E936" s="17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5"/>
    </row>
    <row r="937" ht="12.75" customHeight="1">
      <c r="A937" s="5"/>
      <c r="B937" s="16"/>
      <c r="C937" s="16"/>
      <c r="D937" s="16"/>
      <c r="E937" s="17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5"/>
    </row>
    <row r="938" ht="12.75" customHeight="1">
      <c r="A938" s="5"/>
      <c r="B938" s="16"/>
      <c r="C938" s="16"/>
      <c r="D938" s="16"/>
      <c r="E938" s="17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5"/>
    </row>
    <row r="939" ht="12.75" customHeight="1">
      <c r="A939" s="5"/>
      <c r="B939" s="16"/>
      <c r="C939" s="16"/>
      <c r="D939" s="16"/>
      <c r="E939" s="17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5"/>
    </row>
    <row r="940" ht="12.75" customHeight="1">
      <c r="A940" s="5"/>
      <c r="B940" s="16"/>
      <c r="C940" s="16"/>
      <c r="D940" s="16"/>
      <c r="E940" s="17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5"/>
    </row>
    <row r="941" ht="12.75" customHeight="1">
      <c r="A941" s="5"/>
      <c r="B941" s="16"/>
      <c r="C941" s="16"/>
      <c r="D941" s="16"/>
      <c r="E941" s="17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5"/>
    </row>
    <row r="942" ht="12.75" customHeight="1">
      <c r="A942" s="5"/>
      <c r="B942" s="16"/>
      <c r="C942" s="16"/>
      <c r="D942" s="16"/>
      <c r="E942" s="17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5"/>
    </row>
    <row r="943" ht="12.75" customHeight="1">
      <c r="A943" s="5"/>
      <c r="B943" s="16"/>
      <c r="C943" s="16"/>
      <c r="D943" s="16"/>
      <c r="E943" s="17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5"/>
    </row>
    <row r="944" ht="12.75" customHeight="1">
      <c r="A944" s="5"/>
      <c r="B944" s="16"/>
      <c r="C944" s="16"/>
      <c r="D944" s="16"/>
      <c r="E944" s="17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5"/>
    </row>
    <row r="945" ht="12.75" customHeight="1">
      <c r="A945" s="5"/>
      <c r="B945" s="16"/>
      <c r="C945" s="16"/>
      <c r="D945" s="16"/>
      <c r="E945" s="17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5"/>
    </row>
    <row r="946" ht="12.75" customHeight="1">
      <c r="A946" s="5"/>
      <c r="B946" s="16"/>
      <c r="C946" s="16"/>
      <c r="D946" s="16"/>
      <c r="E946" s="17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5"/>
    </row>
    <row r="947" ht="12.75" customHeight="1">
      <c r="A947" s="5"/>
      <c r="B947" s="16"/>
      <c r="C947" s="16"/>
      <c r="D947" s="16"/>
      <c r="E947" s="17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5"/>
    </row>
    <row r="948" ht="12.75" customHeight="1">
      <c r="A948" s="5"/>
      <c r="B948" s="16"/>
      <c r="C948" s="16"/>
      <c r="D948" s="16"/>
      <c r="E948" s="17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5"/>
    </row>
    <row r="949" ht="12.75" customHeight="1">
      <c r="A949" s="5"/>
      <c r="B949" s="16"/>
      <c r="C949" s="16"/>
      <c r="D949" s="16"/>
      <c r="E949" s="17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5"/>
    </row>
    <row r="950" ht="12.75" customHeight="1">
      <c r="A950" s="5"/>
      <c r="B950" s="16"/>
      <c r="C950" s="16"/>
      <c r="D950" s="16"/>
      <c r="E950" s="17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5"/>
    </row>
    <row r="951" ht="12.75" customHeight="1">
      <c r="A951" s="5"/>
      <c r="B951" s="16"/>
      <c r="C951" s="16"/>
      <c r="D951" s="16"/>
      <c r="E951" s="17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5"/>
    </row>
    <row r="952" ht="12.75" customHeight="1">
      <c r="A952" s="5"/>
      <c r="B952" s="16"/>
      <c r="C952" s="16"/>
      <c r="D952" s="16"/>
      <c r="E952" s="17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5"/>
    </row>
    <row r="953" ht="12.75" customHeight="1">
      <c r="A953" s="5"/>
      <c r="B953" s="16"/>
      <c r="C953" s="16"/>
      <c r="D953" s="16"/>
      <c r="E953" s="17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5"/>
    </row>
    <row r="954" ht="12.75" customHeight="1">
      <c r="A954" s="5"/>
      <c r="B954" s="16"/>
      <c r="C954" s="16"/>
      <c r="D954" s="16"/>
      <c r="E954" s="17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5"/>
    </row>
    <row r="955" ht="12.75" customHeight="1">
      <c r="A955" s="5"/>
      <c r="B955" s="16"/>
      <c r="C955" s="16"/>
      <c r="D955" s="16"/>
      <c r="E955" s="17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5"/>
    </row>
    <row r="956" ht="12.75" customHeight="1">
      <c r="A956" s="5"/>
      <c r="B956" s="16"/>
      <c r="C956" s="16"/>
      <c r="D956" s="16"/>
      <c r="E956" s="17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5"/>
    </row>
    <row r="957" ht="12.75" customHeight="1">
      <c r="A957" s="5"/>
      <c r="B957" s="16"/>
      <c r="C957" s="16"/>
      <c r="D957" s="16"/>
      <c r="E957" s="17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5"/>
    </row>
    <row r="958" ht="12.75" customHeight="1">
      <c r="A958" s="5"/>
      <c r="B958" s="16"/>
      <c r="C958" s="16"/>
      <c r="D958" s="16"/>
      <c r="E958" s="17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5"/>
    </row>
    <row r="959" ht="12.75" customHeight="1">
      <c r="A959" s="5"/>
      <c r="B959" s="16"/>
      <c r="C959" s="16"/>
      <c r="D959" s="16"/>
      <c r="E959" s="17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5"/>
    </row>
    <row r="960" ht="12.75" customHeight="1">
      <c r="A960" s="5"/>
      <c r="B960" s="16"/>
      <c r="C960" s="16"/>
      <c r="D960" s="16"/>
      <c r="E960" s="17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5"/>
    </row>
    <row r="961" ht="12.75" customHeight="1">
      <c r="A961" s="5"/>
      <c r="B961" s="16"/>
      <c r="C961" s="16"/>
      <c r="D961" s="16"/>
      <c r="E961" s="17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5"/>
    </row>
    <row r="962" ht="12.75" customHeight="1">
      <c r="A962" s="5"/>
      <c r="B962" s="16"/>
      <c r="C962" s="16"/>
      <c r="D962" s="16"/>
      <c r="E962" s="17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5"/>
    </row>
    <row r="963" ht="12.75" customHeight="1">
      <c r="A963" s="5"/>
      <c r="B963" s="16"/>
      <c r="C963" s="16"/>
      <c r="D963" s="16"/>
      <c r="E963" s="17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5"/>
    </row>
    <row r="964" ht="12.75" customHeight="1">
      <c r="A964" s="5"/>
      <c r="B964" s="16"/>
      <c r="C964" s="16"/>
      <c r="D964" s="16"/>
      <c r="E964" s="17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5"/>
    </row>
    <row r="965" ht="12.75" customHeight="1">
      <c r="A965" s="5"/>
      <c r="B965" s="16"/>
      <c r="C965" s="16"/>
      <c r="D965" s="16"/>
      <c r="E965" s="17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5"/>
    </row>
    <row r="966" ht="12.75" customHeight="1">
      <c r="A966" s="5"/>
      <c r="B966" s="16"/>
      <c r="C966" s="16"/>
      <c r="D966" s="16"/>
      <c r="E966" s="17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5"/>
    </row>
    <row r="967" ht="12.75" customHeight="1">
      <c r="A967" s="5"/>
      <c r="B967" s="16"/>
      <c r="C967" s="16"/>
      <c r="D967" s="16"/>
      <c r="E967" s="17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5"/>
    </row>
    <row r="968" ht="12.75" customHeight="1">
      <c r="A968" s="5"/>
      <c r="B968" s="16"/>
      <c r="C968" s="16"/>
      <c r="D968" s="16"/>
      <c r="E968" s="17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5"/>
    </row>
    <row r="969" ht="12.75" customHeight="1">
      <c r="A969" s="5"/>
      <c r="B969" s="16"/>
      <c r="C969" s="16"/>
      <c r="D969" s="16"/>
      <c r="E969" s="17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5"/>
    </row>
    <row r="970" ht="12.75" customHeight="1">
      <c r="A970" s="5"/>
      <c r="B970" s="16"/>
      <c r="C970" s="16"/>
      <c r="D970" s="16"/>
      <c r="E970" s="17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5"/>
    </row>
    <row r="971" ht="12.75" customHeight="1">
      <c r="A971" s="5"/>
      <c r="B971" s="16"/>
      <c r="C971" s="16"/>
      <c r="D971" s="16"/>
      <c r="E971" s="17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5"/>
    </row>
    <row r="972" ht="12.75" customHeight="1">
      <c r="A972" s="5"/>
      <c r="B972" s="16"/>
      <c r="C972" s="16"/>
      <c r="D972" s="16"/>
      <c r="E972" s="17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5"/>
    </row>
    <row r="973" ht="12.75" customHeight="1">
      <c r="A973" s="5"/>
      <c r="B973" s="16"/>
      <c r="C973" s="16"/>
      <c r="D973" s="16"/>
      <c r="E973" s="17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5"/>
    </row>
    <row r="974" ht="12.75" customHeight="1">
      <c r="A974" s="5"/>
      <c r="B974" s="16"/>
      <c r="C974" s="16"/>
      <c r="D974" s="16"/>
      <c r="E974" s="17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5"/>
    </row>
    <row r="975" ht="12.75" customHeight="1">
      <c r="A975" s="5"/>
      <c r="B975" s="16"/>
      <c r="C975" s="16"/>
      <c r="D975" s="16"/>
      <c r="E975" s="17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5"/>
    </row>
    <row r="976" ht="12.75" customHeight="1">
      <c r="A976" s="5"/>
      <c r="B976" s="16"/>
      <c r="C976" s="16"/>
      <c r="D976" s="16"/>
      <c r="E976" s="17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5"/>
    </row>
    <row r="977" ht="12.75" customHeight="1">
      <c r="A977" s="5"/>
      <c r="B977" s="16"/>
      <c r="C977" s="16"/>
      <c r="D977" s="16"/>
      <c r="E977" s="17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5"/>
    </row>
    <row r="978" ht="12.75" customHeight="1">
      <c r="A978" s="5"/>
      <c r="B978" s="16"/>
      <c r="C978" s="16"/>
      <c r="D978" s="16"/>
      <c r="E978" s="17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5"/>
    </row>
    <row r="979" ht="12.75" customHeight="1">
      <c r="A979" s="5"/>
      <c r="B979" s="16"/>
      <c r="C979" s="16"/>
      <c r="D979" s="16"/>
      <c r="E979" s="17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5"/>
    </row>
    <row r="980" ht="12.75" customHeight="1">
      <c r="A980" s="5"/>
      <c r="B980" s="16"/>
      <c r="C980" s="16"/>
      <c r="D980" s="16"/>
      <c r="E980" s="17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5"/>
    </row>
    <row r="981" ht="12.75" customHeight="1">
      <c r="A981" s="5"/>
      <c r="B981" s="16"/>
      <c r="C981" s="16"/>
      <c r="D981" s="16"/>
      <c r="E981" s="17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5"/>
    </row>
    <row r="982" ht="12.75" customHeight="1">
      <c r="A982" s="5"/>
      <c r="B982" s="16"/>
      <c r="C982" s="16"/>
      <c r="D982" s="16"/>
      <c r="E982" s="17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5"/>
    </row>
    <row r="983" ht="12.75" customHeight="1">
      <c r="A983" s="5"/>
      <c r="B983" s="16"/>
      <c r="C983" s="16"/>
      <c r="D983" s="16"/>
      <c r="E983" s="17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5"/>
    </row>
    <row r="984" ht="12.75" customHeight="1">
      <c r="A984" s="5"/>
      <c r="B984" s="16"/>
      <c r="C984" s="16"/>
      <c r="D984" s="16"/>
      <c r="E984" s="17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5"/>
    </row>
    <row r="985" ht="12.75" customHeight="1">
      <c r="A985" s="5"/>
      <c r="B985" s="16"/>
      <c r="C985" s="16"/>
      <c r="D985" s="16"/>
      <c r="E985" s="17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5"/>
    </row>
    <row r="986" ht="12.75" customHeight="1">
      <c r="A986" s="5"/>
      <c r="B986" s="16"/>
      <c r="C986" s="16"/>
      <c r="D986" s="16"/>
      <c r="E986" s="17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5"/>
    </row>
    <row r="987" ht="12.75" customHeight="1">
      <c r="A987" s="5"/>
      <c r="B987" s="16"/>
      <c r="C987" s="16"/>
      <c r="D987" s="16"/>
      <c r="E987" s="17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5"/>
    </row>
    <row r="988" ht="12.75" customHeight="1">
      <c r="A988" s="5"/>
      <c r="B988" s="16"/>
      <c r="C988" s="16"/>
      <c r="D988" s="16"/>
      <c r="E988" s="17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5"/>
    </row>
    <row r="989" ht="12.75" customHeight="1">
      <c r="A989" s="5"/>
      <c r="B989" s="16"/>
      <c r="C989" s="16"/>
      <c r="D989" s="16"/>
      <c r="E989" s="17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5"/>
    </row>
    <row r="990" ht="12.75" customHeight="1">
      <c r="A990" s="5"/>
      <c r="B990" s="16"/>
      <c r="C990" s="16"/>
      <c r="D990" s="16"/>
      <c r="E990" s="17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5"/>
    </row>
    <row r="991" ht="12.75" customHeight="1">
      <c r="A991" s="5"/>
      <c r="B991" s="16"/>
      <c r="C991" s="16"/>
      <c r="D991" s="16"/>
      <c r="E991" s="17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5"/>
    </row>
    <row r="992" ht="12.75" customHeight="1">
      <c r="A992" s="5"/>
      <c r="B992" s="16"/>
      <c r="C992" s="16"/>
      <c r="D992" s="16"/>
      <c r="E992" s="17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5"/>
    </row>
    <row r="993" ht="12.75" customHeight="1">
      <c r="A993" s="5"/>
      <c r="B993" s="16"/>
      <c r="C993" s="16"/>
      <c r="D993" s="16"/>
      <c r="E993" s="17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5"/>
    </row>
    <row r="994" ht="12.75" customHeight="1">
      <c r="A994" s="5"/>
      <c r="B994" s="16"/>
      <c r="C994" s="16"/>
      <c r="D994" s="16"/>
      <c r="E994" s="17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5"/>
    </row>
    <row r="995" ht="12.75" customHeight="1">
      <c r="A995" s="5"/>
      <c r="B995" s="16"/>
      <c r="C995" s="16"/>
      <c r="D995" s="16"/>
      <c r="E995" s="17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5"/>
    </row>
    <row r="996" ht="12.75" customHeight="1">
      <c r="A996" s="5"/>
      <c r="B996" s="16"/>
      <c r="C996" s="16"/>
      <c r="D996" s="16"/>
      <c r="E996" s="17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5"/>
    </row>
    <row r="997" ht="12.75" customHeight="1">
      <c r="A997" s="5"/>
      <c r="B997" s="16"/>
      <c r="C997" s="16"/>
      <c r="D997" s="16"/>
      <c r="E997" s="17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5"/>
    </row>
    <row r="998" ht="12.75" customHeight="1">
      <c r="A998" s="5"/>
      <c r="B998" s="16"/>
      <c r="C998" s="16"/>
      <c r="D998" s="16"/>
      <c r="E998" s="17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5"/>
    </row>
    <row r="999" ht="12.75" customHeight="1">
      <c r="A999" s="5"/>
      <c r="B999" s="16"/>
      <c r="C999" s="16"/>
      <c r="D999" s="16"/>
      <c r="E999" s="17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5"/>
    </row>
    <row r="1000" ht="12.75" customHeight="1">
      <c r="A1000" s="5"/>
      <c r="B1000" s="16"/>
      <c r="C1000" s="16"/>
      <c r="D1000" s="16"/>
      <c r="E1000" s="17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5"/>
    </row>
  </sheetData>
  <printOptions/>
  <pageMargins bottom="1.0" footer="0.0" header="0.0" left="0.75" right="0.75" top="1.0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5.38"/>
    <col customWidth="1" min="2" max="2" width="42.63"/>
    <col customWidth="1" hidden="1" min="3" max="3" width="14.13"/>
    <col customWidth="1" hidden="1" min="4" max="4" width="12.13"/>
    <col customWidth="1" min="5" max="5" width="14.13"/>
    <col customWidth="1" min="6" max="7" width="10.63"/>
    <col customWidth="1" min="8" max="8" width="9.88"/>
    <col customWidth="1" min="9" max="9" width="11.88"/>
    <col customWidth="1" min="10" max="10" width="14.0"/>
    <col customWidth="1" hidden="1" min="11" max="11" width="8.13"/>
    <col customWidth="1" min="12" max="12" width="16.13"/>
    <col customWidth="1" min="13" max="13" width="13.63"/>
    <col customWidth="1" hidden="1" min="14" max="14" width="6.88"/>
    <col customWidth="1" min="15" max="15" width="25.38"/>
    <col customWidth="1" min="16" max="16" width="15.75"/>
    <col customWidth="1" min="17" max="26" width="9.13"/>
  </cols>
  <sheetData>
    <row r="1" ht="12.75" customHeight="1">
      <c r="A1" s="18" t="s">
        <v>27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 ht="12.75" customHeight="1">
      <c r="A2" s="19" t="s">
        <v>28</v>
      </c>
      <c r="B2" s="19"/>
      <c r="C2" s="19"/>
      <c r="D2" s="19"/>
      <c r="E2" s="19"/>
      <c r="F2" s="20"/>
      <c r="K2" s="19"/>
      <c r="L2" s="19"/>
    </row>
    <row r="3" ht="12.75" customHeight="1">
      <c r="A3" s="19" t="s">
        <v>29</v>
      </c>
      <c r="B3" s="19"/>
      <c r="K3" s="19"/>
      <c r="L3" s="19"/>
    </row>
    <row r="4" ht="12.75" customHeight="1">
      <c r="A4" s="21" t="s">
        <v>30</v>
      </c>
      <c r="B4" s="21" t="s">
        <v>3</v>
      </c>
      <c r="C4" s="21" t="s">
        <v>4</v>
      </c>
      <c r="D4" s="21" t="s">
        <v>5</v>
      </c>
      <c r="E4" s="22">
        <v>1.0</v>
      </c>
      <c r="F4" s="22">
        <v>2.0</v>
      </c>
      <c r="G4" s="22">
        <v>3.0</v>
      </c>
      <c r="H4" s="22">
        <v>4.0</v>
      </c>
      <c r="I4" s="22">
        <v>5.0</v>
      </c>
      <c r="J4" s="22" t="s">
        <v>31</v>
      </c>
      <c r="K4" s="23" t="s">
        <v>32</v>
      </c>
      <c r="L4" s="22" t="s">
        <v>33</v>
      </c>
      <c r="M4" s="22" t="s">
        <v>34</v>
      </c>
      <c r="N4" s="18" t="s">
        <v>32</v>
      </c>
      <c r="O4" s="24" t="s">
        <v>35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 ht="12.75" customHeight="1">
      <c r="A5" s="26">
        <v>1.0</v>
      </c>
      <c r="B5" s="27" t="s">
        <v>36</v>
      </c>
      <c r="C5" s="28"/>
      <c r="D5" s="28"/>
      <c r="E5" s="29">
        <v>36.07</v>
      </c>
      <c r="F5" s="29">
        <v>41.82</v>
      </c>
      <c r="G5" s="29">
        <v>39.75</v>
      </c>
      <c r="H5" s="29">
        <v>37.92</v>
      </c>
      <c r="I5" s="29">
        <v>31.12</v>
      </c>
      <c r="J5" s="30">
        <f t="shared" ref="J5:J40" si="1">IF(MIN(E5:I5)&gt;0,MIN(E5:I5),IF(COUNTBLANK(E5:I5)=5,"","DNF"))</f>
        <v>31.12</v>
      </c>
      <c r="K5" s="30"/>
      <c r="L5" s="30">
        <f t="shared" ref="L5:L40" si="2">IF(COUNTBLANK(E5:I5)&gt;0,"",IF(COUNTIF(E5:I5,"DNF")+COUNTIF(E5:I5,"DNS")&gt;0,"DNF",MAX(E5:I5)))</f>
        <v>41.82</v>
      </c>
      <c r="M5" s="30">
        <f t="shared" ref="M5:M14" si="3">IF(COUNTBLANK(E5:I5)&gt;0,"",IF(COUNTIF(E5:I5,"DNF")+COUNTIF(E5:I5,"DNS")&gt;1,"DNF",ROUND(IF(COUNTIF(E5:I5,"DNF")+COUNTIF(E5:I5,"DNS")&gt;0,(SUM(E5:I5)-J5)/3,(SUM(E5:I5)-J5-L5)/3),2)))</f>
        <v>37.91</v>
      </c>
      <c r="N5" s="25"/>
      <c r="O5" s="31">
        <f t="shared" ref="O5:O40" si="4">M5/86400</f>
        <v>0.0004387731481</v>
      </c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</row>
    <row r="6" ht="12.75" customHeight="1">
      <c r="A6" s="26">
        <f t="shared" ref="A6:A10" si="5">IF(AND(M4=M5,J4=J5),A5,ROW()-4)</f>
        <v>2</v>
      </c>
      <c r="B6" s="27" t="s">
        <v>37</v>
      </c>
      <c r="C6" s="28"/>
      <c r="D6" s="28"/>
      <c r="E6" s="29">
        <v>42.47</v>
      </c>
      <c r="F6" s="29">
        <v>44.24</v>
      </c>
      <c r="G6" s="29">
        <v>42.73</v>
      </c>
      <c r="H6" s="29">
        <v>46.94</v>
      </c>
      <c r="I6" s="29">
        <v>44.13</v>
      </c>
      <c r="J6" s="30">
        <f t="shared" si="1"/>
        <v>42.47</v>
      </c>
      <c r="K6" s="30"/>
      <c r="L6" s="30">
        <f t="shared" si="2"/>
        <v>46.94</v>
      </c>
      <c r="M6" s="30">
        <f t="shared" si="3"/>
        <v>43.7</v>
      </c>
      <c r="N6" s="25"/>
      <c r="O6" s="31">
        <f t="shared" si="4"/>
        <v>0.000505787037</v>
      </c>
      <c r="P6" s="25"/>
      <c r="Q6" s="25">
        <f>P6/86400</f>
        <v>0</v>
      </c>
      <c r="R6" s="25"/>
      <c r="S6" s="25"/>
      <c r="T6" s="25"/>
      <c r="U6" s="25"/>
      <c r="V6" s="25"/>
      <c r="W6" s="25"/>
      <c r="X6" s="25"/>
      <c r="Y6" s="25"/>
      <c r="Z6" s="25"/>
    </row>
    <row r="7" ht="12.75" customHeight="1">
      <c r="A7" s="26">
        <f t="shared" si="5"/>
        <v>3</v>
      </c>
      <c r="B7" s="27" t="s">
        <v>38</v>
      </c>
      <c r="C7" s="32"/>
      <c r="D7" s="32"/>
      <c r="E7" s="29">
        <v>42.51</v>
      </c>
      <c r="F7" s="29">
        <v>39.69</v>
      </c>
      <c r="G7" s="29">
        <v>50.69</v>
      </c>
      <c r="H7" s="29">
        <v>41.61</v>
      </c>
      <c r="I7" s="29">
        <v>48.4</v>
      </c>
      <c r="J7" s="30">
        <f t="shared" si="1"/>
        <v>39.69</v>
      </c>
      <c r="K7" s="30"/>
      <c r="L7" s="30">
        <f t="shared" si="2"/>
        <v>50.69</v>
      </c>
      <c r="M7" s="30">
        <f t="shared" si="3"/>
        <v>44.17</v>
      </c>
      <c r="N7" s="25"/>
      <c r="O7" s="31">
        <f t="shared" si="4"/>
        <v>0.0005112268519</v>
      </c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</row>
    <row r="8" ht="12.75" customHeight="1">
      <c r="A8" s="26">
        <f t="shared" si="5"/>
        <v>4</v>
      </c>
      <c r="B8" s="27" t="s">
        <v>39</v>
      </c>
      <c r="C8" s="28"/>
      <c r="D8" s="28"/>
      <c r="E8" s="29">
        <v>45.27</v>
      </c>
      <c r="F8" s="29">
        <v>53.3</v>
      </c>
      <c r="G8" s="29">
        <v>46.64</v>
      </c>
      <c r="H8" s="29">
        <v>51.7</v>
      </c>
      <c r="I8" s="29">
        <v>53.55</v>
      </c>
      <c r="J8" s="30">
        <f t="shared" si="1"/>
        <v>45.27</v>
      </c>
      <c r="K8" s="30"/>
      <c r="L8" s="30">
        <f t="shared" si="2"/>
        <v>53.55</v>
      </c>
      <c r="M8" s="30">
        <f t="shared" si="3"/>
        <v>50.55</v>
      </c>
      <c r="N8" s="25"/>
      <c r="O8" s="31">
        <f t="shared" si="4"/>
        <v>0.0005850694444</v>
      </c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</row>
    <row r="9" ht="12.75" customHeight="1">
      <c r="A9" s="26">
        <f t="shared" si="5"/>
        <v>5</v>
      </c>
      <c r="B9" s="27" t="s">
        <v>40</v>
      </c>
      <c r="C9" s="33"/>
      <c r="D9" s="33"/>
      <c r="E9" s="34">
        <v>50.19</v>
      </c>
      <c r="F9" s="34">
        <v>48.42</v>
      </c>
      <c r="G9" s="34">
        <v>51.88</v>
      </c>
      <c r="H9" s="34">
        <v>62.7</v>
      </c>
      <c r="I9" s="34">
        <v>51.39</v>
      </c>
      <c r="J9" s="35">
        <f t="shared" si="1"/>
        <v>48.42</v>
      </c>
      <c r="K9" s="35"/>
      <c r="L9" s="35">
        <f t="shared" si="2"/>
        <v>62.7</v>
      </c>
      <c r="M9" s="35">
        <f t="shared" si="3"/>
        <v>51.15</v>
      </c>
      <c r="N9" s="25"/>
      <c r="O9" s="31">
        <f t="shared" si="4"/>
        <v>0.0005920138889</v>
      </c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 ht="12.75" customHeight="1">
      <c r="A10" s="26">
        <f t="shared" si="5"/>
        <v>6</v>
      </c>
      <c r="B10" s="27" t="s">
        <v>41</v>
      </c>
      <c r="C10" s="28"/>
      <c r="D10" s="28"/>
      <c r="E10" s="29">
        <v>59.97</v>
      </c>
      <c r="F10" s="29">
        <v>56.82</v>
      </c>
      <c r="G10" s="29">
        <v>49.26</v>
      </c>
      <c r="H10" s="29">
        <v>51.48</v>
      </c>
      <c r="I10" s="29">
        <v>47.63</v>
      </c>
      <c r="J10" s="30">
        <f t="shared" si="1"/>
        <v>47.63</v>
      </c>
      <c r="K10" s="30"/>
      <c r="L10" s="30">
        <f t="shared" si="2"/>
        <v>59.97</v>
      </c>
      <c r="M10" s="30">
        <f t="shared" si="3"/>
        <v>52.52</v>
      </c>
      <c r="N10" s="25"/>
      <c r="O10" s="31">
        <f t="shared" si="4"/>
        <v>0.0006078703704</v>
      </c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 ht="12.75" customHeight="1">
      <c r="A11" s="26">
        <f>IF(AND(M10=M11,J10=J11),A10,ROW()-4)</f>
        <v>7</v>
      </c>
      <c r="B11" s="27" t="s">
        <v>42</v>
      </c>
      <c r="C11" s="28"/>
      <c r="D11" s="28"/>
      <c r="E11" s="29">
        <v>49.98</v>
      </c>
      <c r="F11" s="29">
        <v>53.34</v>
      </c>
      <c r="G11" s="29">
        <v>55.83</v>
      </c>
      <c r="H11" s="29">
        <v>52.55</v>
      </c>
      <c r="I11" s="29">
        <v>52.78</v>
      </c>
      <c r="J11" s="30">
        <f t="shared" si="1"/>
        <v>49.98</v>
      </c>
      <c r="K11" s="30"/>
      <c r="L11" s="30">
        <f t="shared" si="2"/>
        <v>55.83</v>
      </c>
      <c r="M11" s="30">
        <f t="shared" si="3"/>
        <v>52.89</v>
      </c>
      <c r="N11" s="25"/>
      <c r="O11" s="31">
        <f t="shared" si="4"/>
        <v>0.0006121527778</v>
      </c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 ht="12.75" customHeight="1">
      <c r="A12" s="26">
        <f>IF(AND(M10=M11,J10=J11),A11,ROW()-4)</f>
        <v>8</v>
      </c>
      <c r="B12" s="27" t="s">
        <v>43</v>
      </c>
      <c r="C12" s="28"/>
      <c r="D12" s="28"/>
      <c r="E12" s="29">
        <v>50.05</v>
      </c>
      <c r="F12" s="29">
        <v>43.97</v>
      </c>
      <c r="G12" s="29">
        <v>51.73</v>
      </c>
      <c r="H12" s="29">
        <v>74.35</v>
      </c>
      <c r="I12" s="29">
        <v>57.31</v>
      </c>
      <c r="J12" s="30">
        <f t="shared" si="1"/>
        <v>43.97</v>
      </c>
      <c r="K12" s="30"/>
      <c r="L12" s="30">
        <f t="shared" si="2"/>
        <v>74.35</v>
      </c>
      <c r="M12" s="30">
        <f t="shared" si="3"/>
        <v>53.03</v>
      </c>
      <c r="N12" s="25"/>
      <c r="O12" s="31">
        <f t="shared" si="4"/>
        <v>0.0006137731481</v>
      </c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 ht="12.75" customHeight="1">
      <c r="A13" s="26">
        <f>IF(AND(M12=M13,J12=J13),A12,ROW()-4)</f>
        <v>9</v>
      </c>
      <c r="B13" s="27" t="s">
        <v>44</v>
      </c>
      <c r="C13" s="28"/>
      <c r="D13" s="28"/>
      <c r="E13" s="29">
        <v>51.76</v>
      </c>
      <c r="F13" s="29">
        <v>51.6</v>
      </c>
      <c r="G13" s="29">
        <v>61.25</v>
      </c>
      <c r="H13" s="29">
        <v>66.5</v>
      </c>
      <c r="I13" s="29">
        <v>50.7</v>
      </c>
      <c r="J13" s="30">
        <f t="shared" si="1"/>
        <v>50.7</v>
      </c>
      <c r="K13" s="30"/>
      <c r="L13" s="30">
        <f t="shared" si="2"/>
        <v>66.5</v>
      </c>
      <c r="M13" s="30">
        <f t="shared" si="3"/>
        <v>54.87</v>
      </c>
      <c r="N13" s="25"/>
      <c r="O13" s="31">
        <f t="shared" si="4"/>
        <v>0.0006350694444</v>
      </c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 ht="12.75" customHeight="1">
      <c r="A14" s="26">
        <f t="shared" ref="A14:A15" si="6">IF(AND(M12=M13,J12=J13),A13,ROW()-4)</f>
        <v>10</v>
      </c>
      <c r="B14" s="27" t="s">
        <v>45</v>
      </c>
      <c r="C14" s="28"/>
      <c r="D14" s="28"/>
      <c r="E14" s="29">
        <v>49.09</v>
      </c>
      <c r="F14" s="29">
        <v>59.99</v>
      </c>
      <c r="G14" s="29">
        <v>58.71</v>
      </c>
      <c r="H14" s="29">
        <v>60.84</v>
      </c>
      <c r="I14" s="29">
        <v>56.34</v>
      </c>
      <c r="J14" s="30">
        <f t="shared" si="1"/>
        <v>49.09</v>
      </c>
      <c r="K14" s="30"/>
      <c r="L14" s="30">
        <f t="shared" si="2"/>
        <v>60.84</v>
      </c>
      <c r="M14" s="30">
        <f t="shared" si="3"/>
        <v>58.35</v>
      </c>
      <c r="N14" s="25"/>
      <c r="O14" s="31">
        <f t="shared" si="4"/>
        <v>0.0006753472222</v>
      </c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ht="12.75" customHeight="1">
      <c r="A15" s="26">
        <f t="shared" si="6"/>
        <v>11</v>
      </c>
      <c r="B15" s="27" t="s">
        <v>46</v>
      </c>
      <c r="C15" s="28"/>
      <c r="D15" s="28"/>
      <c r="E15" s="29">
        <v>79.64</v>
      </c>
      <c r="F15" s="29">
        <v>66.79</v>
      </c>
      <c r="G15" s="29">
        <v>52.08</v>
      </c>
      <c r="H15" s="29">
        <v>53.59</v>
      </c>
      <c r="I15" s="29">
        <v>59.44</v>
      </c>
      <c r="J15" s="30">
        <f t="shared" si="1"/>
        <v>52.08</v>
      </c>
      <c r="K15" s="30"/>
      <c r="L15" s="30">
        <f t="shared" si="2"/>
        <v>79.64</v>
      </c>
      <c r="M15" s="30">
        <f>IF(COUNTBLANK(E15:I15)&gt;0,"",IF(COUNTIF(E15:I15,"DNF")+COUNTIF(E15:I15,"DNS")&gt;1,"DNF",IF(COUNTIF(E15:I15,"DNF")+COUNTIF(E15:I15,"DNS")&gt;0,(SUM(E15:I15)-J15)/3,(SUM(E15:I15)-J15-L15)/3)))</f>
        <v>59.94</v>
      </c>
      <c r="N15" s="25"/>
      <c r="O15" s="31">
        <f t="shared" si="4"/>
        <v>0.00069375</v>
      </c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ht="12.75" customHeight="1">
      <c r="A16" s="26">
        <f>IF(AND(M15=M16,J15=J16),A15,ROW()-4)</f>
        <v>12</v>
      </c>
      <c r="B16" s="27" t="s">
        <v>47</v>
      </c>
      <c r="C16" s="28"/>
      <c r="D16" s="28"/>
      <c r="E16" s="29">
        <v>60.8</v>
      </c>
      <c r="F16" s="29">
        <v>54.69</v>
      </c>
      <c r="G16" s="29">
        <v>63.4</v>
      </c>
      <c r="H16" s="29">
        <v>61.47</v>
      </c>
      <c r="I16" s="29">
        <v>69.05</v>
      </c>
      <c r="J16" s="30">
        <f t="shared" si="1"/>
        <v>54.69</v>
      </c>
      <c r="K16" s="30"/>
      <c r="L16" s="30">
        <f t="shared" si="2"/>
        <v>69.05</v>
      </c>
      <c r="M16" s="30">
        <f t="shared" ref="M16:M17" si="7">IF(COUNTBLANK(E16:I16)&gt;0,"",IF(COUNTIF(E16:I16,"DNF")+COUNTIF(E16:I16,"DNS")&gt;1,"DNF",ROUND(IF(COUNTIF(E16:I16,"DNF")+COUNTIF(E16:I16,"DNS")&gt;0,(SUM(E16:I16)-J16)/3,(SUM(E16:I16)-J16-L16)/3),2)))</f>
        <v>61.89</v>
      </c>
      <c r="N16" s="25"/>
      <c r="O16" s="31">
        <f t="shared" si="4"/>
        <v>0.0007163194444</v>
      </c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 ht="12.75" customHeight="1">
      <c r="A17" s="33">
        <f>IF(AND(M15=M16,J15=J16),A16,ROW()-4)</f>
        <v>13</v>
      </c>
      <c r="B17" s="27" t="s">
        <v>48</v>
      </c>
      <c r="C17" s="28"/>
      <c r="D17" s="28"/>
      <c r="E17" s="29">
        <v>63.11</v>
      </c>
      <c r="F17" s="29">
        <v>61.07</v>
      </c>
      <c r="G17" s="29">
        <v>55.76</v>
      </c>
      <c r="H17" s="29" t="s">
        <v>49</v>
      </c>
      <c r="I17" s="29">
        <v>73.2</v>
      </c>
      <c r="J17" s="30">
        <f t="shared" si="1"/>
        <v>55.76</v>
      </c>
      <c r="K17" s="30"/>
      <c r="L17" s="30" t="str">
        <f t="shared" si="2"/>
        <v>DNF</v>
      </c>
      <c r="M17" s="30">
        <f t="shared" si="7"/>
        <v>65.79</v>
      </c>
      <c r="N17" s="25"/>
      <c r="O17" s="31">
        <f t="shared" si="4"/>
        <v>0.0007614583333</v>
      </c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 ht="12.75" customHeight="1">
      <c r="A18" s="33">
        <f>IF(AND(M17=M18,J17=J18),A17,ROW()-4)</f>
        <v>14</v>
      </c>
      <c r="B18" s="27" t="s">
        <v>50</v>
      </c>
      <c r="C18" s="28"/>
      <c r="D18" s="28"/>
      <c r="E18" s="29">
        <v>59.14</v>
      </c>
      <c r="F18" s="29">
        <v>73.27</v>
      </c>
      <c r="G18" s="29">
        <v>69.98</v>
      </c>
      <c r="H18" s="29">
        <v>79.64</v>
      </c>
      <c r="I18" s="29">
        <v>62.29</v>
      </c>
      <c r="J18" s="30">
        <f t="shared" si="1"/>
        <v>59.14</v>
      </c>
      <c r="K18" s="30"/>
      <c r="L18" s="30">
        <f t="shared" si="2"/>
        <v>79.64</v>
      </c>
      <c r="M18" s="30">
        <f>IF(COUNTBLANK(E18:I18)&gt;0,"",IF(COUNTIF(E18:I18,"DNF")+COUNTIF(E18:I18,"DNS")&gt;1,"DNF",IF(COUNTIF(E18:I18,"DNF")+COUNTIF(E18:I18,"DNS")&gt;0,(SUM(E18:I18)-J18)/3,(SUM(E18:I18)-J18-L18)/3)))</f>
        <v>68.51333333</v>
      </c>
      <c r="N18" s="25"/>
      <c r="O18" s="31">
        <f t="shared" si="4"/>
        <v>0.0007929783951</v>
      </c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 ht="12.75" customHeight="1">
      <c r="A19" s="33">
        <f>IF(AND(M17=M18,J17=J18),A18,ROW()-4)</f>
        <v>15</v>
      </c>
      <c r="B19" s="27" t="s">
        <v>51</v>
      </c>
      <c r="C19" s="28"/>
      <c r="D19" s="28"/>
      <c r="E19" s="29">
        <v>68.76</v>
      </c>
      <c r="F19" s="29">
        <v>90.8</v>
      </c>
      <c r="G19" s="29">
        <v>64.32</v>
      </c>
      <c r="H19" s="29">
        <v>74.85</v>
      </c>
      <c r="I19" s="29">
        <v>68.13</v>
      </c>
      <c r="J19" s="30">
        <f t="shared" si="1"/>
        <v>64.32</v>
      </c>
      <c r="K19" s="30"/>
      <c r="L19" s="30">
        <f t="shared" si="2"/>
        <v>90.8</v>
      </c>
      <c r="M19" s="30">
        <f t="shared" ref="M19:M40" si="8">IF(COUNTBLANK(E19:I19)&gt;0,"",IF(COUNTIF(E19:I19,"DNF")+COUNTIF(E19:I19,"DNS")&gt;1,"DNF",ROUND(IF(COUNTIF(E19:I19,"DNF")+COUNTIF(E19:I19,"DNS")&gt;0,(SUM(E19:I19)-J19)/3,(SUM(E19:I19)-J19-L19)/3),2)))</f>
        <v>70.58</v>
      </c>
      <c r="N19" s="25"/>
      <c r="O19" s="31">
        <f t="shared" si="4"/>
        <v>0.0008168981481</v>
      </c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 ht="12.75" customHeight="1">
      <c r="A20" s="33">
        <f>IF(AND(M19=M20,J19=J20),A19,ROW()-4)</f>
        <v>16</v>
      </c>
      <c r="B20" s="27" t="s">
        <v>52</v>
      </c>
      <c r="C20" s="33"/>
      <c r="D20" s="33"/>
      <c r="E20" s="34">
        <v>79.4</v>
      </c>
      <c r="F20" s="34">
        <v>70.85</v>
      </c>
      <c r="G20" s="34">
        <v>142.31</v>
      </c>
      <c r="H20" s="34">
        <v>68.01</v>
      </c>
      <c r="I20" s="34">
        <v>63.83</v>
      </c>
      <c r="J20" s="35">
        <f t="shared" si="1"/>
        <v>63.83</v>
      </c>
      <c r="K20" s="35"/>
      <c r="L20" s="35">
        <f t="shared" si="2"/>
        <v>142.31</v>
      </c>
      <c r="M20" s="35">
        <f t="shared" si="8"/>
        <v>72.75</v>
      </c>
      <c r="N20" s="25"/>
      <c r="O20" s="31">
        <f t="shared" si="4"/>
        <v>0.0008420138889</v>
      </c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 ht="12.75" customHeight="1">
      <c r="A21" s="33">
        <f>IF(AND(M19=M20,J19=J20),A20,ROW()-4)</f>
        <v>17</v>
      </c>
      <c r="B21" s="27" t="s">
        <v>53</v>
      </c>
      <c r="C21" s="33"/>
      <c r="D21" s="33"/>
      <c r="E21" s="34">
        <v>109.63</v>
      </c>
      <c r="F21" s="34">
        <v>73.0</v>
      </c>
      <c r="G21" s="34">
        <v>72.54</v>
      </c>
      <c r="H21" s="34">
        <v>87.81</v>
      </c>
      <c r="I21" s="34">
        <v>74.78</v>
      </c>
      <c r="J21" s="35">
        <f t="shared" si="1"/>
        <v>72.54</v>
      </c>
      <c r="K21" s="35"/>
      <c r="L21" s="35">
        <f t="shared" si="2"/>
        <v>109.63</v>
      </c>
      <c r="M21" s="35">
        <f t="shared" si="8"/>
        <v>78.53</v>
      </c>
      <c r="N21" s="25"/>
      <c r="O21" s="31">
        <f t="shared" si="4"/>
        <v>0.000908912037</v>
      </c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 ht="12.75" customHeight="1">
      <c r="A22" s="33">
        <f>IF(AND(M21=M22,J21=J22),A21,ROW()-4)</f>
        <v>18</v>
      </c>
      <c r="B22" s="27" t="s">
        <v>54</v>
      </c>
      <c r="C22" s="28"/>
      <c r="D22" s="28"/>
      <c r="E22" s="29">
        <v>78.9</v>
      </c>
      <c r="F22" s="29">
        <v>94.41</v>
      </c>
      <c r="G22" s="29">
        <v>83.75</v>
      </c>
      <c r="H22" s="29">
        <v>80.06</v>
      </c>
      <c r="I22" s="29">
        <v>68.56</v>
      </c>
      <c r="J22" s="30">
        <f t="shared" si="1"/>
        <v>68.56</v>
      </c>
      <c r="K22" s="30"/>
      <c r="L22" s="30">
        <f t="shared" si="2"/>
        <v>94.41</v>
      </c>
      <c r="M22" s="30">
        <f t="shared" si="8"/>
        <v>80.9</v>
      </c>
      <c r="N22" s="25"/>
      <c r="O22" s="31">
        <f t="shared" si="4"/>
        <v>0.0009363425926</v>
      </c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 ht="12.75" customHeight="1">
      <c r="A23" s="33">
        <f>IF(AND(M21=M22,J21=J22),A22,ROW()-4)</f>
        <v>19</v>
      </c>
      <c r="B23" s="27" t="s">
        <v>55</v>
      </c>
      <c r="C23" s="28"/>
      <c r="D23" s="28"/>
      <c r="E23" s="29">
        <v>97.69</v>
      </c>
      <c r="F23" s="29">
        <v>84.11</v>
      </c>
      <c r="G23" s="29">
        <v>95.62</v>
      </c>
      <c r="H23" s="29">
        <v>69.82</v>
      </c>
      <c r="I23" s="29">
        <v>78.53</v>
      </c>
      <c r="J23" s="30">
        <f t="shared" si="1"/>
        <v>69.82</v>
      </c>
      <c r="K23" s="30"/>
      <c r="L23" s="30">
        <f t="shared" si="2"/>
        <v>97.69</v>
      </c>
      <c r="M23" s="30">
        <f t="shared" si="8"/>
        <v>86.09</v>
      </c>
      <c r="N23" s="25"/>
      <c r="O23" s="31">
        <f t="shared" si="4"/>
        <v>0.000996412037</v>
      </c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 ht="12.75" customHeight="1">
      <c r="A24" s="33">
        <f>IF(AND(M23=M24,J23=J24),A23,ROW()-4)</f>
        <v>20</v>
      </c>
      <c r="B24" s="27" t="s">
        <v>56</v>
      </c>
      <c r="C24" s="28"/>
      <c r="D24" s="28"/>
      <c r="E24" s="29">
        <v>95.61</v>
      </c>
      <c r="F24" s="29">
        <v>85.48</v>
      </c>
      <c r="G24" s="29">
        <v>74.71</v>
      </c>
      <c r="H24" s="29">
        <v>101.06</v>
      </c>
      <c r="I24" s="29">
        <v>80.45</v>
      </c>
      <c r="J24" s="30">
        <f t="shared" si="1"/>
        <v>74.71</v>
      </c>
      <c r="K24" s="30"/>
      <c r="L24" s="30">
        <f t="shared" si="2"/>
        <v>101.06</v>
      </c>
      <c r="M24" s="30">
        <f t="shared" si="8"/>
        <v>87.18</v>
      </c>
      <c r="N24" s="25"/>
      <c r="O24" s="31">
        <f t="shared" si="4"/>
        <v>0.001009027778</v>
      </c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 ht="12.75" customHeight="1">
      <c r="A25" s="33">
        <f>IF(AND(M23=M24,J23=J24),A24,ROW()-4)</f>
        <v>21</v>
      </c>
      <c r="B25" s="27" t="s">
        <v>57</v>
      </c>
      <c r="C25" s="28"/>
      <c r="D25" s="28"/>
      <c r="E25" s="29">
        <v>95.22</v>
      </c>
      <c r="F25" s="29">
        <v>97.54</v>
      </c>
      <c r="G25" s="29">
        <v>81.57</v>
      </c>
      <c r="H25" s="29">
        <v>107.0</v>
      </c>
      <c r="I25" s="29">
        <v>142.18</v>
      </c>
      <c r="J25" s="30">
        <f t="shared" si="1"/>
        <v>81.57</v>
      </c>
      <c r="K25" s="30"/>
      <c r="L25" s="30">
        <f t="shared" si="2"/>
        <v>142.18</v>
      </c>
      <c r="M25" s="30">
        <f t="shared" si="8"/>
        <v>99.92</v>
      </c>
      <c r="N25" s="25"/>
      <c r="O25" s="31">
        <f t="shared" si="4"/>
        <v>0.001156481481</v>
      </c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 ht="12.75" customHeight="1">
      <c r="A26" s="33">
        <f>IF(AND(M25=M26,J25=J26),A25,ROW()-4)</f>
        <v>22</v>
      </c>
      <c r="B26" s="27" t="s">
        <v>58</v>
      </c>
      <c r="C26" s="28"/>
      <c r="D26" s="28"/>
      <c r="E26" s="29">
        <v>104.71</v>
      </c>
      <c r="F26" s="29">
        <v>117.6</v>
      </c>
      <c r="G26" s="29">
        <v>100.65</v>
      </c>
      <c r="H26" s="29">
        <v>100.59</v>
      </c>
      <c r="I26" s="29">
        <v>101.5</v>
      </c>
      <c r="J26" s="30">
        <f t="shared" si="1"/>
        <v>100.59</v>
      </c>
      <c r="K26" s="30"/>
      <c r="L26" s="30">
        <f t="shared" si="2"/>
        <v>117.6</v>
      </c>
      <c r="M26" s="30">
        <f t="shared" si="8"/>
        <v>102.29</v>
      </c>
      <c r="N26" s="25"/>
      <c r="O26" s="31">
        <f t="shared" si="4"/>
        <v>0.001183912037</v>
      </c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 ht="12.75" customHeight="1">
      <c r="A27" s="33">
        <f>IF(AND(M25=M26,J25=J26),A26,ROW()-4)</f>
        <v>23</v>
      </c>
      <c r="B27" s="27" t="s">
        <v>59</v>
      </c>
      <c r="C27" s="28"/>
      <c r="D27" s="28"/>
      <c r="E27" s="29">
        <v>104.09</v>
      </c>
      <c r="F27" s="29">
        <v>102.89</v>
      </c>
      <c r="G27" s="29">
        <v>90.78</v>
      </c>
      <c r="H27" s="29">
        <v>105.7</v>
      </c>
      <c r="I27" s="29">
        <v>100.83</v>
      </c>
      <c r="J27" s="30">
        <f t="shared" si="1"/>
        <v>90.78</v>
      </c>
      <c r="K27" s="30"/>
      <c r="L27" s="30">
        <f t="shared" si="2"/>
        <v>105.7</v>
      </c>
      <c r="M27" s="30">
        <f t="shared" si="8"/>
        <v>102.6</v>
      </c>
      <c r="N27" s="25"/>
      <c r="O27" s="31">
        <f t="shared" si="4"/>
        <v>0.0011875</v>
      </c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 ht="12.75" customHeight="1">
      <c r="A28" s="33">
        <f>IF(AND(M27=M28,J27=J28),A27,ROW()-4)</f>
        <v>24</v>
      </c>
      <c r="B28" s="27" t="s">
        <v>60</v>
      </c>
      <c r="C28" s="28"/>
      <c r="D28" s="28"/>
      <c r="E28" s="29">
        <v>101.27</v>
      </c>
      <c r="F28" s="29">
        <v>121.36</v>
      </c>
      <c r="G28" s="29">
        <v>99.36</v>
      </c>
      <c r="H28" s="29">
        <v>112.61</v>
      </c>
      <c r="I28" s="29">
        <v>121.47</v>
      </c>
      <c r="J28" s="30">
        <f t="shared" si="1"/>
        <v>99.36</v>
      </c>
      <c r="K28" s="30"/>
      <c r="L28" s="30">
        <f t="shared" si="2"/>
        <v>121.47</v>
      </c>
      <c r="M28" s="30">
        <f t="shared" si="8"/>
        <v>111.75</v>
      </c>
      <c r="N28" s="25"/>
      <c r="O28" s="31">
        <f t="shared" si="4"/>
        <v>0.001293402778</v>
      </c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ht="12.75" customHeight="1">
      <c r="A29" s="33">
        <f>IF(AND(M27=M28,J27=J28),A28,ROW()-4)</f>
        <v>25</v>
      </c>
      <c r="B29" s="27" t="s">
        <v>61</v>
      </c>
      <c r="C29" s="33"/>
      <c r="D29" s="33"/>
      <c r="E29" s="29">
        <v>187.24</v>
      </c>
      <c r="F29" s="29">
        <v>160.61</v>
      </c>
      <c r="G29" s="29">
        <v>174.24</v>
      </c>
      <c r="H29" s="29" t="s">
        <v>49</v>
      </c>
      <c r="I29" s="29">
        <v>177.85</v>
      </c>
      <c r="J29" s="30">
        <f t="shared" si="1"/>
        <v>160.61</v>
      </c>
      <c r="K29" s="30"/>
      <c r="L29" s="30" t="str">
        <f t="shared" si="2"/>
        <v>DNF</v>
      </c>
      <c r="M29" s="30">
        <f t="shared" si="8"/>
        <v>179.78</v>
      </c>
      <c r="N29" s="25"/>
      <c r="O29" s="31">
        <f t="shared" si="4"/>
        <v>0.002080787037</v>
      </c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 ht="12.75" customHeight="1">
      <c r="A30" s="33">
        <f>IF(AND(M29=M30,J29=J30),A29,ROW()-4)</f>
        <v>26</v>
      </c>
      <c r="B30" s="27" t="s">
        <v>62</v>
      </c>
      <c r="C30" s="28"/>
      <c r="D30" s="28"/>
      <c r="E30" s="29" t="s">
        <v>49</v>
      </c>
      <c r="F30" s="29">
        <v>118.39</v>
      </c>
      <c r="G30" s="29">
        <v>108.46</v>
      </c>
      <c r="H30" s="29" t="s">
        <v>49</v>
      </c>
      <c r="I30" s="29">
        <v>131.52</v>
      </c>
      <c r="J30" s="30">
        <f t="shared" si="1"/>
        <v>108.46</v>
      </c>
      <c r="K30" s="30"/>
      <c r="L30" s="30" t="str">
        <f t="shared" si="2"/>
        <v>DNF</v>
      </c>
      <c r="M30" s="30" t="str">
        <f t="shared" si="8"/>
        <v>DNF</v>
      </c>
      <c r="N30" s="25"/>
      <c r="O30" s="31" t="str">
        <f t="shared" si="4"/>
        <v>#VALUE!</v>
      </c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 ht="12.75" customHeight="1">
      <c r="A31" s="33">
        <f>IF(AND(M29=M30,J29=J30),A30,ROW()-4)</f>
        <v>27</v>
      </c>
      <c r="B31" s="27" t="s">
        <v>63</v>
      </c>
      <c r="C31" s="28"/>
      <c r="D31" s="28"/>
      <c r="E31" s="29">
        <v>127.68</v>
      </c>
      <c r="F31" s="29" t="s">
        <v>49</v>
      </c>
      <c r="G31" s="29">
        <v>144.73</v>
      </c>
      <c r="H31" s="29">
        <v>138.09</v>
      </c>
      <c r="I31" s="29" t="s">
        <v>49</v>
      </c>
      <c r="J31" s="30">
        <f t="shared" si="1"/>
        <v>127.68</v>
      </c>
      <c r="K31" s="30"/>
      <c r="L31" s="30" t="str">
        <f t="shared" si="2"/>
        <v>DNF</v>
      </c>
      <c r="M31" s="30" t="str">
        <f t="shared" si="8"/>
        <v>DNF</v>
      </c>
      <c r="N31" s="25"/>
      <c r="O31" s="31" t="str">
        <f t="shared" si="4"/>
        <v>#VALUE!</v>
      </c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 ht="12.75" customHeight="1">
      <c r="A32" s="33">
        <f>IF(AND(M31=M32,J31=J32),A31,ROW()-4)</f>
        <v>28</v>
      </c>
      <c r="B32" s="27" t="s">
        <v>64</v>
      </c>
      <c r="C32" s="28"/>
      <c r="D32" s="28"/>
      <c r="E32" s="29" t="s">
        <v>65</v>
      </c>
      <c r="F32" s="29" t="s">
        <v>49</v>
      </c>
      <c r="G32" s="29" t="s">
        <v>66</v>
      </c>
      <c r="H32" s="29" t="s">
        <v>66</v>
      </c>
      <c r="I32" s="29" t="s">
        <v>66</v>
      </c>
      <c r="J32" s="30" t="str">
        <f t="shared" si="1"/>
        <v>DNF</v>
      </c>
      <c r="K32" s="30"/>
      <c r="L32" s="30" t="str">
        <f t="shared" si="2"/>
        <v>DNF</v>
      </c>
      <c r="M32" s="30" t="str">
        <f t="shared" si="8"/>
        <v>DNF</v>
      </c>
      <c r="N32" s="25"/>
      <c r="O32" s="31" t="str">
        <f t="shared" si="4"/>
        <v>#VALUE!</v>
      </c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 ht="12.75" customHeight="1">
      <c r="A33" s="33">
        <f>IF(AND(M31=M32,J31=J32),A32,ROW()-4)</f>
        <v>29</v>
      </c>
      <c r="B33" s="27"/>
      <c r="C33" s="28"/>
      <c r="D33" s="28"/>
      <c r="E33" s="30"/>
      <c r="F33" s="30"/>
      <c r="G33" s="30"/>
      <c r="H33" s="30"/>
      <c r="I33" s="30"/>
      <c r="J33" s="30" t="str">
        <f t="shared" si="1"/>
        <v/>
      </c>
      <c r="K33" s="30"/>
      <c r="L33" s="30" t="str">
        <f t="shared" si="2"/>
        <v/>
      </c>
      <c r="M33" s="30" t="str">
        <f t="shared" si="8"/>
        <v/>
      </c>
      <c r="N33" s="25"/>
      <c r="O33" s="31">
        <f t="shared" si="4"/>
        <v>0</v>
      </c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ht="12.75" customHeight="1">
      <c r="A34" s="33">
        <f>IF(AND(M33=M34,J33=J34),A33,ROW()-4)</f>
        <v>29</v>
      </c>
      <c r="B34" s="27"/>
      <c r="C34" s="28"/>
      <c r="D34" s="28"/>
      <c r="E34" s="30"/>
      <c r="F34" s="30"/>
      <c r="G34" s="30"/>
      <c r="H34" s="30"/>
      <c r="I34" s="30"/>
      <c r="J34" s="30" t="str">
        <f t="shared" si="1"/>
        <v/>
      </c>
      <c r="K34" s="30"/>
      <c r="L34" s="30" t="str">
        <f t="shared" si="2"/>
        <v/>
      </c>
      <c r="M34" s="30" t="str">
        <f t="shared" si="8"/>
        <v/>
      </c>
      <c r="N34" s="25"/>
      <c r="O34" s="31">
        <f t="shared" si="4"/>
        <v>0</v>
      </c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 ht="12.75" customHeight="1">
      <c r="A35" s="33">
        <f>IF(AND(M33=M34,J33=J34),A34,ROW()-4)</f>
        <v>29</v>
      </c>
      <c r="B35" s="36"/>
      <c r="C35" s="28"/>
      <c r="D35" s="28"/>
      <c r="E35" s="30"/>
      <c r="F35" s="30"/>
      <c r="G35" s="30"/>
      <c r="H35" s="30"/>
      <c r="I35" s="30"/>
      <c r="J35" s="30" t="str">
        <f t="shared" si="1"/>
        <v/>
      </c>
      <c r="K35" s="30"/>
      <c r="L35" s="30" t="str">
        <f t="shared" si="2"/>
        <v/>
      </c>
      <c r="M35" s="30" t="str">
        <f t="shared" si="8"/>
        <v/>
      </c>
      <c r="N35" s="25"/>
      <c r="O35" s="31">
        <f t="shared" si="4"/>
        <v>0</v>
      </c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 ht="12.75" customHeight="1">
      <c r="A36" s="33">
        <f>IF(AND(M35=M36,J35=J36),A35,ROW()-4)</f>
        <v>29</v>
      </c>
      <c r="B36" s="37"/>
      <c r="C36" s="28"/>
      <c r="D36" s="28"/>
      <c r="E36" s="30"/>
      <c r="F36" s="30"/>
      <c r="G36" s="30"/>
      <c r="H36" s="30"/>
      <c r="I36" s="30"/>
      <c r="J36" s="30" t="str">
        <f t="shared" si="1"/>
        <v/>
      </c>
      <c r="K36" s="30"/>
      <c r="L36" s="30" t="str">
        <f t="shared" si="2"/>
        <v/>
      </c>
      <c r="M36" s="30" t="str">
        <f t="shared" si="8"/>
        <v/>
      </c>
      <c r="N36" s="25"/>
      <c r="O36" s="31">
        <f t="shared" si="4"/>
        <v>0</v>
      </c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 ht="12.75" customHeight="1">
      <c r="A37" s="33">
        <f>IF(AND(M35=M36,J35=J36),A36,ROW()-4)</f>
        <v>29</v>
      </c>
      <c r="B37" s="37"/>
      <c r="C37" s="33"/>
      <c r="D37" s="33"/>
      <c r="E37" s="35"/>
      <c r="F37" s="35"/>
      <c r="G37" s="35"/>
      <c r="H37" s="35"/>
      <c r="I37" s="35"/>
      <c r="J37" s="35" t="str">
        <f t="shared" si="1"/>
        <v/>
      </c>
      <c r="K37" s="35"/>
      <c r="L37" s="35" t="str">
        <f t="shared" si="2"/>
        <v/>
      </c>
      <c r="M37" s="35" t="str">
        <f t="shared" si="8"/>
        <v/>
      </c>
      <c r="N37" s="25"/>
      <c r="O37" s="31">
        <f t="shared" si="4"/>
        <v>0</v>
      </c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ht="12.75" customHeight="1">
      <c r="A38" s="33">
        <f>IF(AND(M37=M38,J37=J38),A37,ROW()-4)</f>
        <v>29</v>
      </c>
      <c r="B38" s="36"/>
      <c r="C38" s="28"/>
      <c r="D38" s="28"/>
      <c r="E38" s="30"/>
      <c r="F38" s="30"/>
      <c r="G38" s="30"/>
      <c r="H38" s="30"/>
      <c r="I38" s="30"/>
      <c r="J38" s="30" t="str">
        <f t="shared" si="1"/>
        <v/>
      </c>
      <c r="K38" s="30"/>
      <c r="L38" s="30" t="str">
        <f t="shared" si="2"/>
        <v/>
      </c>
      <c r="M38" s="30" t="str">
        <f t="shared" si="8"/>
        <v/>
      </c>
      <c r="N38" s="25"/>
      <c r="O38" s="31">
        <f t="shared" si="4"/>
        <v>0</v>
      </c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 ht="12.75" customHeight="1">
      <c r="A39" s="33">
        <f>IF(AND(M37=M38,J37=J38),A38,ROW()-4)</f>
        <v>29</v>
      </c>
      <c r="B39" s="36"/>
      <c r="C39" s="33"/>
      <c r="D39" s="33"/>
      <c r="E39" s="35"/>
      <c r="F39" s="35"/>
      <c r="G39" s="35"/>
      <c r="H39" s="35"/>
      <c r="I39" s="35"/>
      <c r="J39" s="35" t="str">
        <f t="shared" si="1"/>
        <v/>
      </c>
      <c r="K39" s="35"/>
      <c r="L39" s="35" t="str">
        <f t="shared" si="2"/>
        <v/>
      </c>
      <c r="M39" s="35" t="str">
        <f t="shared" si="8"/>
        <v/>
      </c>
      <c r="N39" s="25"/>
      <c r="O39" s="31">
        <f t="shared" si="4"/>
        <v>0</v>
      </c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 ht="12.75" customHeight="1">
      <c r="A40" s="33">
        <f>IF(AND(M39=M40,J39=J40),A39,ROW()-4)</f>
        <v>29</v>
      </c>
      <c r="B40" s="38"/>
      <c r="C40" s="39"/>
      <c r="D40" s="39"/>
      <c r="E40" s="30"/>
      <c r="F40" s="30"/>
      <c r="G40" s="30"/>
      <c r="H40" s="30"/>
      <c r="I40" s="30"/>
      <c r="J40" s="30" t="str">
        <f t="shared" si="1"/>
        <v/>
      </c>
      <c r="K40" s="30"/>
      <c r="L40" s="30" t="str">
        <f t="shared" si="2"/>
        <v/>
      </c>
      <c r="M40" s="30" t="str">
        <f t="shared" si="8"/>
        <v/>
      </c>
      <c r="N40" s="25"/>
      <c r="O40" s="31">
        <f t="shared" si="4"/>
        <v>0</v>
      </c>
    </row>
    <row r="41" ht="12.75" customHeight="1">
      <c r="A41" s="33">
        <f t="shared" ref="A41:A56" si="9">IF(AND(M39=M40,J39=J40),A40,ROW()-4)</f>
        <v>29</v>
      </c>
      <c r="E41" s="40"/>
      <c r="F41" s="40"/>
      <c r="G41" s="40"/>
      <c r="H41" s="40"/>
      <c r="I41" s="40"/>
      <c r="J41" s="40"/>
      <c r="K41" s="40"/>
      <c r="L41" s="40"/>
      <c r="M41" s="40"/>
    </row>
    <row r="42" ht="12.75" customHeight="1">
      <c r="A42" s="33">
        <f t="shared" si="9"/>
        <v>29</v>
      </c>
      <c r="E42" s="40"/>
      <c r="F42" s="40"/>
      <c r="G42" s="40"/>
      <c r="H42" s="40"/>
      <c r="I42" s="40"/>
      <c r="J42" s="40"/>
      <c r="K42" s="40"/>
      <c r="L42" s="40"/>
      <c r="M42" s="40"/>
    </row>
    <row r="43" ht="12.75" customHeight="1">
      <c r="A43" s="33">
        <f t="shared" si="9"/>
        <v>29</v>
      </c>
      <c r="E43" s="40"/>
      <c r="F43" s="40"/>
      <c r="G43" s="40"/>
      <c r="H43" s="40"/>
      <c r="I43" s="40"/>
      <c r="J43" s="40"/>
      <c r="K43" s="40"/>
      <c r="L43" s="40"/>
      <c r="M43" s="40"/>
    </row>
    <row r="44" ht="12.75" customHeight="1">
      <c r="A44" s="33">
        <f t="shared" si="9"/>
        <v>29</v>
      </c>
      <c r="E44" s="40"/>
      <c r="F44" s="40"/>
      <c r="G44" s="40"/>
      <c r="H44" s="40"/>
      <c r="I44" s="40"/>
      <c r="J44" s="40"/>
      <c r="K44" s="40"/>
      <c r="L44" s="40"/>
      <c r="M44" s="40"/>
    </row>
    <row r="45" ht="12.75" customHeight="1">
      <c r="A45" s="33">
        <f t="shared" si="9"/>
        <v>29</v>
      </c>
      <c r="E45" s="40"/>
      <c r="F45" s="40"/>
      <c r="G45" s="40"/>
      <c r="H45" s="40"/>
      <c r="I45" s="40"/>
      <c r="J45" s="40"/>
      <c r="K45" s="40"/>
      <c r="L45" s="40"/>
      <c r="M45" s="40"/>
    </row>
    <row r="46" ht="12.75" customHeight="1">
      <c r="A46" s="33">
        <f t="shared" si="9"/>
        <v>29</v>
      </c>
      <c r="E46" s="40"/>
      <c r="F46" s="40"/>
      <c r="G46" s="40"/>
      <c r="H46" s="40"/>
      <c r="I46" s="40"/>
      <c r="J46" s="40"/>
      <c r="K46" s="40"/>
      <c r="L46" s="40"/>
      <c r="M46" s="40"/>
    </row>
    <row r="47" ht="12.75" customHeight="1">
      <c r="A47" s="33">
        <f t="shared" si="9"/>
        <v>29</v>
      </c>
      <c r="E47" s="40"/>
      <c r="F47" s="40"/>
      <c r="G47" s="40"/>
      <c r="H47" s="40"/>
      <c r="I47" s="40"/>
      <c r="J47" s="40"/>
      <c r="K47" s="40"/>
      <c r="L47" s="40"/>
      <c r="M47" s="40"/>
    </row>
    <row r="48" ht="12.75" customHeight="1">
      <c r="A48" s="33">
        <f t="shared" si="9"/>
        <v>29</v>
      </c>
      <c r="E48" s="40"/>
      <c r="F48" s="40"/>
      <c r="G48" s="40"/>
      <c r="H48" s="40"/>
      <c r="I48" s="40"/>
      <c r="J48" s="40"/>
      <c r="K48" s="40"/>
      <c r="L48" s="40"/>
      <c r="M48" s="40"/>
    </row>
    <row r="49" ht="12.75" customHeight="1">
      <c r="A49" s="33">
        <f t="shared" si="9"/>
        <v>29</v>
      </c>
      <c r="E49" s="40"/>
      <c r="F49" s="40"/>
      <c r="G49" s="40"/>
      <c r="H49" s="40"/>
      <c r="I49" s="40"/>
      <c r="J49" s="40"/>
      <c r="K49" s="40"/>
      <c r="L49" s="40"/>
      <c r="M49" s="40"/>
    </row>
    <row r="50" ht="12.75" customHeight="1">
      <c r="A50" s="33">
        <f t="shared" si="9"/>
        <v>29</v>
      </c>
      <c r="E50" s="40"/>
      <c r="F50" s="40"/>
      <c r="G50" s="40"/>
      <c r="H50" s="40"/>
      <c r="I50" s="40"/>
      <c r="J50" s="40"/>
      <c r="K50" s="40"/>
      <c r="L50" s="40"/>
      <c r="M50" s="40"/>
    </row>
    <row r="51" ht="12.75" customHeight="1">
      <c r="A51" s="33">
        <f t="shared" si="9"/>
        <v>29</v>
      </c>
      <c r="E51" s="40"/>
      <c r="F51" s="40"/>
      <c r="G51" s="40"/>
      <c r="H51" s="40"/>
      <c r="I51" s="40"/>
      <c r="J51" s="40"/>
      <c r="K51" s="40"/>
      <c r="L51" s="40"/>
      <c r="M51" s="40"/>
    </row>
    <row r="52" ht="12.75" customHeight="1">
      <c r="A52" s="33">
        <f t="shared" si="9"/>
        <v>29</v>
      </c>
      <c r="E52" s="40"/>
      <c r="F52" s="40"/>
      <c r="G52" s="40"/>
      <c r="H52" s="40"/>
      <c r="I52" s="40"/>
      <c r="J52" s="40"/>
      <c r="K52" s="40"/>
      <c r="L52" s="40"/>
      <c r="M52" s="40"/>
    </row>
    <row r="53" ht="12.75" customHeight="1">
      <c r="A53" s="33">
        <f t="shared" si="9"/>
        <v>29</v>
      </c>
      <c r="E53" s="40"/>
      <c r="F53" s="40"/>
      <c r="G53" s="40"/>
      <c r="H53" s="40"/>
      <c r="I53" s="40"/>
      <c r="J53" s="40"/>
      <c r="K53" s="40"/>
      <c r="L53" s="40"/>
      <c r="M53" s="40"/>
    </row>
    <row r="54" ht="12.75" customHeight="1">
      <c r="A54" s="33">
        <f t="shared" si="9"/>
        <v>29</v>
      </c>
      <c r="E54" s="40"/>
      <c r="F54" s="40"/>
      <c r="G54" s="40"/>
      <c r="H54" s="40"/>
      <c r="I54" s="40"/>
      <c r="J54" s="40"/>
      <c r="K54" s="40"/>
      <c r="L54" s="40"/>
      <c r="M54" s="40"/>
    </row>
    <row r="55" ht="12.75" customHeight="1">
      <c r="A55" s="33">
        <f t="shared" si="9"/>
        <v>29</v>
      </c>
      <c r="E55" s="40"/>
      <c r="F55" s="40"/>
      <c r="G55" s="40"/>
      <c r="H55" s="40"/>
      <c r="I55" s="40"/>
      <c r="J55" s="40"/>
      <c r="K55" s="40"/>
      <c r="L55" s="40"/>
      <c r="M55" s="40"/>
    </row>
    <row r="56" ht="12.75" customHeight="1">
      <c r="A56" s="33">
        <f t="shared" si="9"/>
        <v>29</v>
      </c>
      <c r="E56" s="40"/>
      <c r="F56" s="40"/>
      <c r="G56" s="40"/>
      <c r="H56" s="40"/>
      <c r="I56" s="40"/>
      <c r="J56" s="40"/>
      <c r="K56" s="40"/>
      <c r="L56" s="40"/>
      <c r="M56" s="40"/>
    </row>
    <row r="57" ht="12.75" customHeight="1">
      <c r="E57" s="40"/>
      <c r="F57" s="40"/>
      <c r="G57" s="40"/>
      <c r="H57" s="40"/>
      <c r="I57" s="40"/>
      <c r="J57" s="40"/>
      <c r="K57" s="40"/>
      <c r="L57" s="40"/>
      <c r="M57" s="40"/>
    </row>
    <row r="58" ht="12.75" customHeight="1">
      <c r="E58" s="40"/>
      <c r="F58" s="40"/>
      <c r="G58" s="40"/>
      <c r="H58" s="40"/>
      <c r="I58" s="40"/>
      <c r="J58" s="40"/>
      <c r="K58" s="40"/>
      <c r="L58" s="40"/>
      <c r="M58" s="40"/>
    </row>
    <row r="59" ht="12.75" customHeight="1">
      <c r="E59" s="40"/>
      <c r="F59" s="40"/>
      <c r="G59" s="40"/>
      <c r="H59" s="40"/>
      <c r="I59" s="40"/>
      <c r="J59" s="40"/>
      <c r="K59" s="40"/>
      <c r="L59" s="40"/>
      <c r="M59" s="40"/>
    </row>
    <row r="60" ht="12.75" customHeight="1">
      <c r="E60" s="40"/>
      <c r="F60" s="40"/>
      <c r="G60" s="40"/>
      <c r="H60" s="40"/>
      <c r="I60" s="40"/>
      <c r="J60" s="40"/>
      <c r="K60" s="40"/>
      <c r="L60" s="40"/>
      <c r="M60" s="40"/>
    </row>
    <row r="61" ht="12.75" customHeight="1">
      <c r="E61" s="40"/>
      <c r="F61" s="40"/>
      <c r="G61" s="40"/>
      <c r="H61" s="40"/>
      <c r="I61" s="40"/>
      <c r="J61" s="40"/>
      <c r="K61" s="40"/>
      <c r="L61" s="40"/>
      <c r="M61" s="40"/>
    </row>
    <row r="62" ht="12.75" customHeight="1">
      <c r="E62" s="40"/>
      <c r="F62" s="40"/>
      <c r="G62" s="40"/>
      <c r="H62" s="40"/>
      <c r="I62" s="40"/>
      <c r="J62" s="40"/>
      <c r="K62" s="40"/>
      <c r="L62" s="40"/>
      <c r="M62" s="40"/>
    </row>
    <row r="63" ht="12.75" customHeight="1">
      <c r="E63" s="40"/>
      <c r="F63" s="40"/>
      <c r="G63" s="40"/>
      <c r="H63" s="40"/>
      <c r="I63" s="40"/>
      <c r="J63" s="40"/>
      <c r="K63" s="40"/>
      <c r="L63" s="40"/>
      <c r="M63" s="40"/>
    </row>
    <row r="64" ht="12.75" customHeight="1">
      <c r="E64" s="40"/>
      <c r="F64" s="40"/>
      <c r="G64" s="40"/>
      <c r="H64" s="40"/>
      <c r="I64" s="40"/>
      <c r="J64" s="40"/>
      <c r="K64" s="40"/>
      <c r="L64" s="40"/>
      <c r="M64" s="40"/>
    </row>
    <row r="65" ht="12.75" customHeight="1">
      <c r="E65" s="40"/>
      <c r="F65" s="40"/>
      <c r="G65" s="40"/>
      <c r="H65" s="40"/>
      <c r="I65" s="40"/>
      <c r="J65" s="40"/>
      <c r="K65" s="40"/>
      <c r="L65" s="40"/>
      <c r="M65" s="40"/>
    </row>
    <row r="66" ht="12.75" customHeight="1">
      <c r="E66" s="40"/>
      <c r="F66" s="40"/>
      <c r="G66" s="40"/>
      <c r="H66" s="40"/>
      <c r="I66" s="40"/>
      <c r="J66" s="40"/>
      <c r="K66" s="40"/>
      <c r="L66" s="40"/>
      <c r="M66" s="40"/>
    </row>
    <row r="67" ht="12.75" customHeight="1">
      <c r="E67" s="40"/>
      <c r="F67" s="40"/>
      <c r="G67" s="40"/>
      <c r="H67" s="40"/>
      <c r="I67" s="40"/>
      <c r="J67" s="40"/>
      <c r="K67" s="40"/>
      <c r="L67" s="40"/>
      <c r="M67" s="40"/>
    </row>
    <row r="68" ht="12.75" customHeight="1">
      <c r="E68" s="40"/>
      <c r="F68" s="40"/>
      <c r="G68" s="40"/>
      <c r="H68" s="40"/>
      <c r="I68" s="40"/>
      <c r="J68" s="40"/>
      <c r="K68" s="40"/>
      <c r="L68" s="40"/>
      <c r="M68" s="40"/>
    </row>
    <row r="69" ht="12.75" customHeight="1">
      <c r="E69" s="40"/>
      <c r="F69" s="40"/>
      <c r="G69" s="40"/>
      <c r="H69" s="40"/>
      <c r="I69" s="40"/>
      <c r="J69" s="40"/>
      <c r="K69" s="40"/>
      <c r="L69" s="40"/>
      <c r="M69" s="40"/>
    </row>
    <row r="70" ht="12.75" customHeight="1">
      <c r="E70" s="40"/>
      <c r="F70" s="40"/>
      <c r="G70" s="40"/>
      <c r="H70" s="40"/>
      <c r="I70" s="40"/>
      <c r="J70" s="40"/>
      <c r="K70" s="40"/>
      <c r="L70" s="40"/>
      <c r="M70" s="40"/>
    </row>
    <row r="71" ht="12.75" customHeight="1">
      <c r="E71" s="40"/>
      <c r="F71" s="40"/>
      <c r="G71" s="40"/>
      <c r="H71" s="40"/>
      <c r="I71" s="40"/>
      <c r="J71" s="40"/>
      <c r="K71" s="40"/>
      <c r="L71" s="40"/>
      <c r="M71" s="40"/>
    </row>
    <row r="72" ht="12.75" customHeight="1">
      <c r="E72" s="40"/>
      <c r="F72" s="40"/>
      <c r="G72" s="40"/>
      <c r="H72" s="40"/>
      <c r="I72" s="40"/>
      <c r="J72" s="40"/>
      <c r="K72" s="40"/>
      <c r="L72" s="40"/>
      <c r="M72" s="40"/>
    </row>
    <row r="73" ht="12.75" customHeight="1">
      <c r="E73" s="40"/>
      <c r="F73" s="40"/>
      <c r="G73" s="40"/>
      <c r="H73" s="40"/>
      <c r="I73" s="40"/>
      <c r="J73" s="40"/>
      <c r="K73" s="40"/>
      <c r="L73" s="40"/>
      <c r="M73" s="40"/>
    </row>
    <row r="74" ht="12.75" customHeight="1">
      <c r="E74" s="40"/>
      <c r="F74" s="40"/>
      <c r="G74" s="40"/>
      <c r="H74" s="40"/>
      <c r="I74" s="40"/>
      <c r="J74" s="40"/>
      <c r="K74" s="40"/>
      <c r="L74" s="40"/>
      <c r="M74" s="40"/>
    </row>
    <row r="75" ht="12.75" customHeight="1">
      <c r="E75" s="40"/>
      <c r="F75" s="40"/>
      <c r="G75" s="40"/>
      <c r="H75" s="40"/>
      <c r="I75" s="40"/>
      <c r="J75" s="40"/>
      <c r="K75" s="40"/>
      <c r="L75" s="40"/>
      <c r="M75" s="40"/>
    </row>
    <row r="76" ht="12.75" customHeight="1">
      <c r="E76" s="40"/>
      <c r="F76" s="40"/>
      <c r="G76" s="40"/>
      <c r="H76" s="40"/>
      <c r="I76" s="40"/>
      <c r="J76" s="40"/>
      <c r="K76" s="40"/>
      <c r="L76" s="40"/>
      <c r="M76" s="40"/>
    </row>
    <row r="77" ht="12.75" customHeight="1">
      <c r="E77" s="40"/>
      <c r="F77" s="40"/>
      <c r="G77" s="40"/>
      <c r="H77" s="40"/>
      <c r="I77" s="40"/>
      <c r="J77" s="40"/>
      <c r="K77" s="40"/>
      <c r="L77" s="40"/>
      <c r="M77" s="40"/>
    </row>
    <row r="78" ht="12.75" customHeight="1">
      <c r="E78" s="40"/>
      <c r="F78" s="40"/>
      <c r="G78" s="40"/>
      <c r="H78" s="40"/>
      <c r="I78" s="40"/>
      <c r="J78" s="40"/>
      <c r="K78" s="40"/>
      <c r="L78" s="40"/>
      <c r="M78" s="40"/>
    </row>
    <row r="79" ht="12.75" customHeight="1">
      <c r="E79" s="40"/>
      <c r="F79" s="40"/>
      <c r="G79" s="40"/>
      <c r="H79" s="40"/>
      <c r="I79" s="40"/>
      <c r="J79" s="40"/>
      <c r="K79" s="40"/>
      <c r="L79" s="40"/>
      <c r="M79" s="40"/>
    </row>
    <row r="80" ht="12.75" customHeight="1">
      <c r="E80" s="40"/>
      <c r="F80" s="40"/>
      <c r="G80" s="40"/>
      <c r="H80" s="40"/>
      <c r="I80" s="40"/>
      <c r="J80" s="40"/>
      <c r="K80" s="40"/>
      <c r="L80" s="40"/>
      <c r="M80" s="40"/>
    </row>
    <row r="81" ht="12.75" customHeight="1">
      <c r="E81" s="40"/>
      <c r="F81" s="40"/>
      <c r="G81" s="40"/>
      <c r="H81" s="40"/>
      <c r="I81" s="40"/>
      <c r="J81" s="40"/>
      <c r="K81" s="40"/>
      <c r="L81" s="40"/>
      <c r="M81" s="40"/>
    </row>
    <row r="82" ht="12.75" customHeight="1">
      <c r="E82" s="40"/>
      <c r="F82" s="40"/>
      <c r="G82" s="40"/>
      <c r="H82" s="40"/>
      <c r="I82" s="40"/>
      <c r="J82" s="40"/>
      <c r="K82" s="40"/>
      <c r="L82" s="40"/>
      <c r="M82" s="40"/>
    </row>
    <row r="83" ht="12.75" customHeight="1">
      <c r="E83" s="40"/>
      <c r="F83" s="40"/>
      <c r="G83" s="40"/>
      <c r="H83" s="40"/>
      <c r="I83" s="40"/>
      <c r="J83" s="40"/>
      <c r="K83" s="40"/>
      <c r="L83" s="40"/>
      <c r="M83" s="40"/>
    </row>
    <row r="84" ht="12.75" customHeight="1">
      <c r="E84" s="40"/>
      <c r="F84" s="40"/>
      <c r="G84" s="40"/>
      <c r="H84" s="40"/>
      <c r="I84" s="40"/>
      <c r="J84" s="40"/>
      <c r="K84" s="40"/>
      <c r="L84" s="40"/>
      <c r="M84" s="40"/>
    </row>
    <row r="85" ht="12.75" customHeight="1">
      <c r="E85" s="40"/>
      <c r="F85" s="40"/>
      <c r="G85" s="40"/>
      <c r="H85" s="40"/>
      <c r="I85" s="40"/>
      <c r="J85" s="40"/>
      <c r="K85" s="40"/>
      <c r="L85" s="40"/>
      <c r="M85" s="40"/>
    </row>
    <row r="86" ht="12.75" customHeight="1">
      <c r="E86" s="40"/>
      <c r="F86" s="40"/>
      <c r="G86" s="40"/>
      <c r="H86" s="40"/>
      <c r="I86" s="40"/>
      <c r="J86" s="40"/>
      <c r="K86" s="40"/>
      <c r="L86" s="40"/>
      <c r="M86" s="40"/>
    </row>
    <row r="87" ht="12.75" customHeight="1">
      <c r="E87" s="40"/>
      <c r="F87" s="40"/>
      <c r="G87" s="40"/>
      <c r="H87" s="40"/>
      <c r="I87" s="40"/>
      <c r="J87" s="40"/>
      <c r="K87" s="40"/>
      <c r="L87" s="40"/>
      <c r="M87" s="40"/>
    </row>
    <row r="88" ht="12.75" customHeight="1">
      <c r="E88" s="40"/>
      <c r="F88" s="40"/>
      <c r="G88" s="40"/>
      <c r="H88" s="40"/>
      <c r="I88" s="40"/>
      <c r="J88" s="40"/>
      <c r="K88" s="40"/>
      <c r="L88" s="40"/>
      <c r="M88" s="40"/>
    </row>
    <row r="89" ht="12.75" customHeight="1">
      <c r="E89" s="40"/>
      <c r="F89" s="40"/>
      <c r="G89" s="40"/>
      <c r="H89" s="40"/>
      <c r="I89" s="40"/>
      <c r="J89" s="40"/>
      <c r="K89" s="40"/>
      <c r="L89" s="40"/>
      <c r="M89" s="40"/>
    </row>
    <row r="90" ht="12.75" customHeight="1">
      <c r="E90" s="40"/>
      <c r="F90" s="40"/>
      <c r="G90" s="40"/>
      <c r="H90" s="40"/>
      <c r="I90" s="40"/>
      <c r="J90" s="40"/>
      <c r="K90" s="40"/>
      <c r="L90" s="40"/>
      <c r="M90" s="40"/>
    </row>
    <row r="91" ht="12.75" customHeight="1">
      <c r="E91" s="40"/>
      <c r="F91" s="40"/>
      <c r="G91" s="40"/>
      <c r="H91" s="40"/>
      <c r="I91" s="40"/>
      <c r="J91" s="40"/>
      <c r="K91" s="40"/>
      <c r="L91" s="40"/>
      <c r="M91" s="40"/>
    </row>
    <row r="92" ht="12.75" customHeight="1">
      <c r="E92" s="40"/>
      <c r="F92" s="40"/>
      <c r="G92" s="40"/>
      <c r="H92" s="40"/>
      <c r="I92" s="40"/>
      <c r="J92" s="40"/>
      <c r="K92" s="40"/>
      <c r="L92" s="40"/>
      <c r="M92" s="40"/>
    </row>
    <row r="93" ht="12.75" customHeight="1">
      <c r="E93" s="40"/>
      <c r="F93" s="40"/>
      <c r="G93" s="40"/>
      <c r="H93" s="40"/>
      <c r="I93" s="40"/>
      <c r="J93" s="40"/>
      <c r="K93" s="40"/>
      <c r="L93" s="40"/>
      <c r="M93" s="40"/>
    </row>
    <row r="94" ht="12.75" customHeight="1">
      <c r="E94" s="40"/>
      <c r="F94" s="40"/>
      <c r="G94" s="40"/>
      <c r="H94" s="40"/>
      <c r="I94" s="40"/>
      <c r="J94" s="40"/>
      <c r="K94" s="40"/>
      <c r="L94" s="40"/>
      <c r="M94" s="40"/>
    </row>
    <row r="95" ht="12.75" customHeight="1">
      <c r="E95" s="40"/>
      <c r="F95" s="40"/>
      <c r="G95" s="40"/>
      <c r="H95" s="40"/>
      <c r="I95" s="40"/>
      <c r="J95" s="40"/>
      <c r="K95" s="40"/>
      <c r="L95" s="40"/>
      <c r="M95" s="40"/>
    </row>
    <row r="96" ht="12.75" customHeight="1">
      <c r="E96" s="40"/>
      <c r="F96" s="40"/>
      <c r="G96" s="40"/>
      <c r="H96" s="40"/>
      <c r="I96" s="40"/>
      <c r="J96" s="40"/>
      <c r="K96" s="40"/>
      <c r="L96" s="40"/>
      <c r="M96" s="40"/>
    </row>
    <row r="97" ht="12.75" customHeight="1">
      <c r="E97" s="40"/>
      <c r="F97" s="40"/>
      <c r="G97" s="40"/>
      <c r="H97" s="40"/>
      <c r="I97" s="40"/>
      <c r="J97" s="40"/>
      <c r="K97" s="40"/>
      <c r="L97" s="40"/>
      <c r="M97" s="40"/>
    </row>
    <row r="98" ht="12.75" customHeight="1">
      <c r="E98" s="40"/>
      <c r="F98" s="40"/>
      <c r="G98" s="40"/>
      <c r="H98" s="40"/>
      <c r="I98" s="40"/>
      <c r="J98" s="40"/>
      <c r="K98" s="40"/>
      <c r="L98" s="40"/>
      <c r="M98" s="40"/>
    </row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" footer="0.0" header="0.0" left="0.75" right="0.75" top="1.0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5.38"/>
    <col customWidth="1" min="2" max="2" width="42.63"/>
    <col customWidth="1" hidden="1" min="3" max="3" width="14.13"/>
    <col customWidth="1" hidden="1" min="4" max="4" width="12.13"/>
    <col customWidth="1" hidden="1" min="5" max="5" width="14.13"/>
    <col customWidth="1" hidden="1" min="6" max="7" width="10.63"/>
    <col customWidth="1" hidden="1" min="8" max="8" width="9.88"/>
    <col customWidth="1" hidden="1" min="9" max="9" width="11.88"/>
    <col customWidth="1" hidden="1" min="10" max="10" width="14.0"/>
    <col customWidth="1" hidden="1" min="11" max="11" width="8.13"/>
    <col customWidth="1" hidden="1" min="12" max="12" width="16.13"/>
    <col customWidth="1" min="13" max="13" width="13.63"/>
    <col customWidth="1" hidden="1" min="14" max="14" width="6.88"/>
    <col customWidth="1" min="15" max="15" width="25.38"/>
    <col customWidth="1" min="16" max="26" width="9.13"/>
  </cols>
  <sheetData>
    <row r="1" ht="12.75" customHeight="1">
      <c r="A1" s="18" t="s">
        <v>67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 ht="12.75" customHeight="1">
      <c r="A2" s="19" t="s">
        <v>28</v>
      </c>
      <c r="B2" s="19"/>
      <c r="C2" s="19"/>
      <c r="D2" s="19"/>
      <c r="E2" s="19"/>
      <c r="F2" s="20"/>
      <c r="K2" s="19"/>
      <c r="L2" s="19"/>
    </row>
    <row r="3" ht="12.75" customHeight="1">
      <c r="A3" s="19" t="s">
        <v>29</v>
      </c>
      <c r="B3" s="19"/>
      <c r="K3" s="19"/>
      <c r="L3" s="19"/>
    </row>
    <row r="4" ht="12.75" customHeight="1">
      <c r="A4" s="21" t="s">
        <v>30</v>
      </c>
      <c r="B4" s="21" t="s">
        <v>3</v>
      </c>
      <c r="C4" s="21" t="s">
        <v>4</v>
      </c>
      <c r="D4" s="21" t="s">
        <v>5</v>
      </c>
      <c r="E4" s="22">
        <v>1.0</v>
      </c>
      <c r="F4" s="22">
        <v>2.0</v>
      </c>
      <c r="G4" s="22">
        <v>3.0</v>
      </c>
      <c r="H4" s="22">
        <v>4.0</v>
      </c>
      <c r="I4" s="22">
        <v>5.0</v>
      </c>
      <c r="J4" s="22" t="s">
        <v>31</v>
      </c>
      <c r="K4" s="23" t="s">
        <v>32</v>
      </c>
      <c r="L4" s="22" t="s">
        <v>33</v>
      </c>
      <c r="M4" s="22" t="s">
        <v>34</v>
      </c>
      <c r="N4" s="18" t="s">
        <v>32</v>
      </c>
      <c r="O4" s="24" t="s">
        <v>35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 ht="12.75" customHeight="1">
      <c r="A5" s="26">
        <f t="shared" ref="A5:A33" si="1">IF(AND(M3=M4,J3=J4),A4,ROW()-4)</f>
        <v>1</v>
      </c>
      <c r="B5" s="27" t="s">
        <v>36</v>
      </c>
      <c r="C5" s="28"/>
      <c r="D5" s="28"/>
      <c r="E5" s="29">
        <v>41.84</v>
      </c>
      <c r="F5" s="29">
        <v>37.92</v>
      </c>
      <c r="G5" s="29">
        <v>41.83</v>
      </c>
      <c r="H5" s="29">
        <v>33.66</v>
      </c>
      <c r="I5" s="29">
        <v>39.38</v>
      </c>
      <c r="J5" s="30">
        <f t="shared" ref="J5:J35" si="2">IF(MIN(E5:I5)&gt;0,MIN(E5:I5),IF(COUNTBLANK(E5:I5)=5,"","DNF"))</f>
        <v>33.66</v>
      </c>
      <c r="K5" s="30"/>
      <c r="L5" s="30">
        <f t="shared" ref="L5:L35" si="3">IF(COUNTBLANK(E5:I5)&gt;0,"",IF(COUNTIF(E5:I5,"DNF")+COUNTIF(E5:I5,"DNS")&gt;0,"DNF",MAX(E5:I5)))</f>
        <v>41.84</v>
      </c>
      <c r="M5" s="30">
        <f t="shared" ref="M5:M34" si="4">IF(COUNTBLANK(E5:I5)&gt;0,"",IF(COUNTIF(E5:I5,"DNF")+COUNTIF(E5:I5,"DNS")&gt;1,"DNF",ROUND(IF(COUNTIF(E5:I5,"DNF")+COUNTIF(E5:I5,"DNS")&gt;0,(SUM(E5:I5)-J5)/3,(SUM(E5:I5)-J5-L5)/3),2)))</f>
        <v>39.71</v>
      </c>
      <c r="N5" s="25"/>
      <c r="O5" s="31">
        <f t="shared" ref="O5:O35" si="5">M5/86400</f>
        <v>0.0004596064815</v>
      </c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</row>
    <row r="6" ht="12.75" customHeight="1">
      <c r="A6" s="26">
        <f t="shared" si="1"/>
        <v>2</v>
      </c>
      <c r="B6" s="27" t="s">
        <v>37</v>
      </c>
      <c r="C6" s="33"/>
      <c r="D6" s="33"/>
      <c r="E6" s="29">
        <v>45.05</v>
      </c>
      <c r="F6" s="29">
        <v>42.21</v>
      </c>
      <c r="G6" s="29" t="s">
        <v>49</v>
      </c>
      <c r="H6" s="29">
        <v>40.77</v>
      </c>
      <c r="I6" s="29">
        <v>42.64</v>
      </c>
      <c r="J6" s="30">
        <f t="shared" si="2"/>
        <v>40.77</v>
      </c>
      <c r="K6" s="30"/>
      <c r="L6" s="30" t="str">
        <f t="shared" si="3"/>
        <v>DNF</v>
      </c>
      <c r="M6" s="30">
        <f t="shared" si="4"/>
        <v>43.3</v>
      </c>
      <c r="N6" s="25"/>
      <c r="O6" s="31">
        <f t="shared" si="5"/>
        <v>0.0005011574074</v>
      </c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</row>
    <row r="7" ht="12.75" customHeight="1">
      <c r="A7" s="26">
        <f t="shared" si="1"/>
        <v>3</v>
      </c>
      <c r="B7" s="27" t="s">
        <v>38</v>
      </c>
      <c r="C7" s="28"/>
      <c r="D7" s="28"/>
      <c r="E7" s="29">
        <v>42.65</v>
      </c>
      <c r="F7" s="29">
        <v>53.41</v>
      </c>
      <c r="G7" s="29">
        <v>51.8</v>
      </c>
      <c r="H7" s="29">
        <v>41.58</v>
      </c>
      <c r="I7" s="29">
        <v>38.26</v>
      </c>
      <c r="J7" s="30">
        <f t="shared" si="2"/>
        <v>38.26</v>
      </c>
      <c r="K7" s="30"/>
      <c r="L7" s="30">
        <f t="shared" si="3"/>
        <v>53.41</v>
      </c>
      <c r="M7" s="30">
        <f t="shared" si="4"/>
        <v>45.34</v>
      </c>
      <c r="N7" s="25"/>
      <c r="O7" s="31">
        <f t="shared" si="5"/>
        <v>0.0005247685185</v>
      </c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</row>
    <row r="8" ht="12.75" customHeight="1">
      <c r="A8" s="26">
        <f t="shared" si="1"/>
        <v>4</v>
      </c>
      <c r="B8" s="27" t="s">
        <v>39</v>
      </c>
      <c r="C8" s="33"/>
      <c r="D8" s="33"/>
      <c r="E8" s="29">
        <v>47.34</v>
      </c>
      <c r="F8" s="29">
        <v>50.71</v>
      </c>
      <c r="G8" s="29">
        <v>54.54</v>
      </c>
      <c r="H8" s="29">
        <v>47.99</v>
      </c>
      <c r="I8" s="29">
        <v>44.24</v>
      </c>
      <c r="J8" s="30">
        <f t="shared" si="2"/>
        <v>44.24</v>
      </c>
      <c r="K8" s="30"/>
      <c r="L8" s="30">
        <f t="shared" si="3"/>
        <v>54.54</v>
      </c>
      <c r="M8" s="30">
        <f t="shared" si="4"/>
        <v>48.68</v>
      </c>
      <c r="N8" s="25"/>
      <c r="O8" s="31">
        <f t="shared" si="5"/>
        <v>0.0005634259259</v>
      </c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</row>
    <row r="9" ht="12.75" customHeight="1">
      <c r="A9" s="26">
        <f t="shared" si="1"/>
        <v>5</v>
      </c>
      <c r="B9" s="27" t="s">
        <v>41</v>
      </c>
      <c r="C9" s="41"/>
      <c r="D9" s="41"/>
      <c r="E9" s="29">
        <v>71.92</v>
      </c>
      <c r="F9" s="29">
        <v>47.97</v>
      </c>
      <c r="G9" s="29">
        <v>41.88</v>
      </c>
      <c r="H9" s="29">
        <v>47.45</v>
      </c>
      <c r="I9" s="29">
        <v>51.69</v>
      </c>
      <c r="J9" s="30">
        <f t="shared" si="2"/>
        <v>41.88</v>
      </c>
      <c r="K9" s="30"/>
      <c r="L9" s="30">
        <f t="shared" si="3"/>
        <v>71.92</v>
      </c>
      <c r="M9" s="30">
        <f t="shared" si="4"/>
        <v>49.04</v>
      </c>
      <c r="N9" s="25"/>
      <c r="O9" s="31">
        <f t="shared" si="5"/>
        <v>0.0005675925926</v>
      </c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 ht="12.75" customHeight="1">
      <c r="A10" s="26">
        <f t="shared" si="1"/>
        <v>6</v>
      </c>
      <c r="B10" s="27" t="s">
        <v>43</v>
      </c>
      <c r="C10" s="28"/>
      <c r="D10" s="28"/>
      <c r="E10" s="29">
        <v>56.99</v>
      </c>
      <c r="F10" s="29">
        <v>50.44</v>
      </c>
      <c r="G10" s="29">
        <v>59.46</v>
      </c>
      <c r="H10" s="29">
        <v>41.62</v>
      </c>
      <c r="I10" s="29">
        <v>41.39</v>
      </c>
      <c r="J10" s="30">
        <f t="shared" si="2"/>
        <v>41.39</v>
      </c>
      <c r="K10" s="30"/>
      <c r="L10" s="30">
        <f t="shared" si="3"/>
        <v>59.46</v>
      </c>
      <c r="M10" s="30">
        <f t="shared" si="4"/>
        <v>49.68</v>
      </c>
      <c r="N10" s="25"/>
      <c r="O10" s="31">
        <f t="shared" si="5"/>
        <v>0.000575</v>
      </c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 ht="12.75" customHeight="1">
      <c r="A11" s="26">
        <f t="shared" si="1"/>
        <v>7</v>
      </c>
      <c r="B11" s="27" t="s">
        <v>45</v>
      </c>
      <c r="C11" s="33"/>
      <c r="D11" s="33"/>
      <c r="E11" s="29">
        <v>51.62</v>
      </c>
      <c r="F11" s="29">
        <v>66.8</v>
      </c>
      <c r="G11" s="29">
        <v>54.58</v>
      </c>
      <c r="H11" s="29">
        <v>53.67</v>
      </c>
      <c r="I11" s="29">
        <v>46.9</v>
      </c>
      <c r="J11" s="30">
        <f t="shared" si="2"/>
        <v>46.9</v>
      </c>
      <c r="K11" s="30"/>
      <c r="L11" s="30">
        <f t="shared" si="3"/>
        <v>66.8</v>
      </c>
      <c r="M11" s="30">
        <f t="shared" si="4"/>
        <v>53.29</v>
      </c>
      <c r="N11" s="25"/>
      <c r="O11" s="31">
        <f t="shared" si="5"/>
        <v>0.0006167824074</v>
      </c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 ht="12.75" customHeight="1">
      <c r="A12" s="26">
        <f t="shared" si="1"/>
        <v>8</v>
      </c>
      <c r="B12" s="27" t="s">
        <v>40</v>
      </c>
      <c r="C12" s="33"/>
      <c r="D12" s="33"/>
      <c r="E12" s="29">
        <v>55.17</v>
      </c>
      <c r="F12" s="29">
        <v>47.34</v>
      </c>
      <c r="G12" s="29">
        <v>54.83</v>
      </c>
      <c r="H12" s="29">
        <v>58.76</v>
      </c>
      <c r="I12" s="29">
        <v>49.96</v>
      </c>
      <c r="J12" s="30">
        <f t="shared" si="2"/>
        <v>47.34</v>
      </c>
      <c r="K12" s="30"/>
      <c r="L12" s="30">
        <f t="shared" si="3"/>
        <v>58.76</v>
      </c>
      <c r="M12" s="30">
        <f t="shared" si="4"/>
        <v>53.32</v>
      </c>
      <c r="N12" s="25"/>
      <c r="O12" s="31">
        <f t="shared" si="5"/>
        <v>0.0006171296296</v>
      </c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 ht="12.75" customHeight="1">
      <c r="A13" s="26">
        <f t="shared" si="1"/>
        <v>9</v>
      </c>
      <c r="B13" s="27" t="s">
        <v>44</v>
      </c>
      <c r="C13" s="33"/>
      <c r="D13" s="33"/>
      <c r="E13" s="29">
        <v>51.74</v>
      </c>
      <c r="F13" s="29">
        <v>57.44</v>
      </c>
      <c r="G13" s="29" t="s">
        <v>49</v>
      </c>
      <c r="H13" s="29">
        <v>52.68</v>
      </c>
      <c r="I13" s="29">
        <v>55.05</v>
      </c>
      <c r="J13" s="30">
        <f t="shared" si="2"/>
        <v>51.74</v>
      </c>
      <c r="K13" s="30"/>
      <c r="L13" s="30" t="str">
        <f t="shared" si="3"/>
        <v>DNF</v>
      </c>
      <c r="M13" s="30">
        <f t="shared" si="4"/>
        <v>55.06</v>
      </c>
      <c r="N13" s="25"/>
      <c r="O13" s="31">
        <f t="shared" si="5"/>
        <v>0.0006372685185</v>
      </c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 ht="12.75" customHeight="1">
      <c r="A14" s="26">
        <f t="shared" si="1"/>
        <v>10</v>
      </c>
      <c r="B14" s="27" t="s">
        <v>42</v>
      </c>
      <c r="C14" s="33"/>
      <c r="D14" s="33"/>
      <c r="E14" s="29">
        <v>59.45</v>
      </c>
      <c r="F14" s="29">
        <v>65.06</v>
      </c>
      <c r="G14" s="29">
        <v>58.99</v>
      </c>
      <c r="H14" s="29">
        <v>52.81</v>
      </c>
      <c r="I14" s="29">
        <v>57.92</v>
      </c>
      <c r="J14" s="30">
        <f t="shared" si="2"/>
        <v>52.81</v>
      </c>
      <c r="K14" s="30"/>
      <c r="L14" s="30">
        <f t="shared" si="3"/>
        <v>65.06</v>
      </c>
      <c r="M14" s="30">
        <f t="shared" si="4"/>
        <v>58.79</v>
      </c>
      <c r="N14" s="25"/>
      <c r="O14" s="31">
        <f t="shared" si="5"/>
        <v>0.0006804398148</v>
      </c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ht="12.75" customHeight="1">
      <c r="A15" s="26">
        <f t="shared" si="1"/>
        <v>11</v>
      </c>
      <c r="B15" s="27" t="s">
        <v>46</v>
      </c>
      <c r="C15" s="33"/>
      <c r="D15" s="33"/>
      <c r="E15" s="29">
        <v>55.3</v>
      </c>
      <c r="F15" s="29">
        <v>59.97</v>
      </c>
      <c r="G15" s="29">
        <v>67.0</v>
      </c>
      <c r="H15" s="29">
        <v>61.01</v>
      </c>
      <c r="I15" s="29">
        <v>56.63</v>
      </c>
      <c r="J15" s="30">
        <f t="shared" si="2"/>
        <v>55.3</v>
      </c>
      <c r="K15" s="30"/>
      <c r="L15" s="30">
        <f t="shared" si="3"/>
        <v>67</v>
      </c>
      <c r="M15" s="30">
        <f t="shared" si="4"/>
        <v>59.2</v>
      </c>
      <c r="N15" s="25"/>
      <c r="O15" s="31">
        <f t="shared" si="5"/>
        <v>0.0006851851852</v>
      </c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ht="12.75" customHeight="1">
      <c r="A16" s="26">
        <f t="shared" si="1"/>
        <v>12</v>
      </c>
      <c r="B16" s="42" t="s">
        <v>47</v>
      </c>
      <c r="C16" s="28"/>
      <c r="D16" s="28"/>
      <c r="E16" s="29">
        <v>68.45</v>
      </c>
      <c r="F16" s="29">
        <v>67.11</v>
      </c>
      <c r="G16" s="29">
        <v>58.88</v>
      </c>
      <c r="H16" s="29">
        <v>69.08</v>
      </c>
      <c r="I16" s="29">
        <v>61.19</v>
      </c>
      <c r="J16" s="30">
        <f t="shared" si="2"/>
        <v>58.88</v>
      </c>
      <c r="K16" s="30"/>
      <c r="L16" s="30">
        <f t="shared" si="3"/>
        <v>69.08</v>
      </c>
      <c r="M16" s="30">
        <f t="shared" si="4"/>
        <v>65.58</v>
      </c>
      <c r="N16" s="25"/>
      <c r="O16" s="31">
        <f t="shared" si="5"/>
        <v>0.0007590277778</v>
      </c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 ht="12.75" customHeight="1">
      <c r="A17" s="26">
        <f t="shared" si="1"/>
        <v>13</v>
      </c>
      <c r="B17" s="36"/>
      <c r="C17" s="28"/>
      <c r="D17" s="28"/>
      <c r="E17" s="30"/>
      <c r="F17" s="30"/>
      <c r="G17" s="30"/>
      <c r="H17" s="30"/>
      <c r="I17" s="30"/>
      <c r="J17" s="30" t="str">
        <f t="shared" si="2"/>
        <v/>
      </c>
      <c r="K17" s="30"/>
      <c r="L17" s="30" t="str">
        <f t="shared" si="3"/>
        <v/>
      </c>
      <c r="M17" s="30" t="str">
        <f t="shared" si="4"/>
        <v/>
      </c>
      <c r="N17" s="25"/>
      <c r="O17" s="31">
        <f t="shared" si="5"/>
        <v>0</v>
      </c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 ht="12.75" customHeight="1">
      <c r="A18" s="26">
        <f t="shared" si="1"/>
        <v>14</v>
      </c>
      <c r="B18" s="36"/>
      <c r="C18" s="33"/>
      <c r="D18" s="33"/>
      <c r="E18" s="35"/>
      <c r="F18" s="35"/>
      <c r="G18" s="35"/>
      <c r="H18" s="35"/>
      <c r="I18" s="35"/>
      <c r="J18" s="35" t="str">
        <f t="shared" si="2"/>
        <v/>
      </c>
      <c r="K18" s="35"/>
      <c r="L18" s="35" t="str">
        <f t="shared" si="3"/>
        <v/>
      </c>
      <c r="M18" s="35" t="str">
        <f t="shared" si="4"/>
        <v/>
      </c>
      <c r="N18" s="25"/>
      <c r="O18" s="31">
        <f t="shared" si="5"/>
        <v>0</v>
      </c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 ht="12.75" customHeight="1">
      <c r="A19" s="26">
        <f t="shared" si="1"/>
        <v>14</v>
      </c>
      <c r="B19" s="36"/>
      <c r="C19" s="33"/>
      <c r="D19" s="33"/>
      <c r="E19" s="35"/>
      <c r="F19" s="35"/>
      <c r="G19" s="35"/>
      <c r="H19" s="35"/>
      <c r="I19" s="35"/>
      <c r="J19" s="35" t="str">
        <f t="shared" si="2"/>
        <v/>
      </c>
      <c r="K19" s="35"/>
      <c r="L19" s="35" t="str">
        <f t="shared" si="3"/>
        <v/>
      </c>
      <c r="M19" s="35" t="str">
        <f t="shared" si="4"/>
        <v/>
      </c>
      <c r="N19" s="25"/>
      <c r="O19" s="31">
        <f t="shared" si="5"/>
        <v>0</v>
      </c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 ht="12.75" customHeight="1">
      <c r="A20" s="26">
        <f t="shared" si="1"/>
        <v>14</v>
      </c>
      <c r="B20" s="36"/>
      <c r="C20" s="28"/>
      <c r="D20" s="28"/>
      <c r="E20" s="30"/>
      <c r="F20" s="30"/>
      <c r="G20" s="30"/>
      <c r="H20" s="30"/>
      <c r="I20" s="30"/>
      <c r="J20" s="30" t="str">
        <f t="shared" si="2"/>
        <v/>
      </c>
      <c r="K20" s="30"/>
      <c r="L20" s="30" t="str">
        <f t="shared" si="3"/>
        <v/>
      </c>
      <c r="M20" s="30" t="str">
        <f t="shared" si="4"/>
        <v/>
      </c>
      <c r="N20" s="25"/>
      <c r="O20" s="31">
        <f t="shared" si="5"/>
        <v>0</v>
      </c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 ht="12.75" customHeight="1">
      <c r="A21" s="26">
        <f t="shared" si="1"/>
        <v>14</v>
      </c>
      <c r="B21" s="36"/>
      <c r="C21" s="28"/>
      <c r="D21" s="28"/>
      <c r="E21" s="30"/>
      <c r="F21" s="30"/>
      <c r="G21" s="30"/>
      <c r="H21" s="30"/>
      <c r="I21" s="30"/>
      <c r="J21" s="30" t="str">
        <f t="shared" si="2"/>
        <v/>
      </c>
      <c r="K21" s="30"/>
      <c r="L21" s="30" t="str">
        <f t="shared" si="3"/>
        <v/>
      </c>
      <c r="M21" s="30" t="str">
        <f t="shared" si="4"/>
        <v/>
      </c>
      <c r="N21" s="25"/>
      <c r="O21" s="31">
        <f t="shared" si="5"/>
        <v>0</v>
      </c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 ht="12.75" customHeight="1">
      <c r="A22" s="26">
        <f t="shared" si="1"/>
        <v>14</v>
      </c>
      <c r="B22" s="36"/>
      <c r="C22" s="28"/>
      <c r="D22" s="28"/>
      <c r="E22" s="30"/>
      <c r="F22" s="30"/>
      <c r="G22" s="30"/>
      <c r="H22" s="30"/>
      <c r="I22" s="30"/>
      <c r="J22" s="30" t="str">
        <f t="shared" si="2"/>
        <v/>
      </c>
      <c r="K22" s="30"/>
      <c r="L22" s="30" t="str">
        <f t="shared" si="3"/>
        <v/>
      </c>
      <c r="M22" s="30" t="str">
        <f t="shared" si="4"/>
        <v/>
      </c>
      <c r="N22" s="25"/>
      <c r="O22" s="31">
        <f t="shared" si="5"/>
        <v>0</v>
      </c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 ht="12.75" customHeight="1">
      <c r="A23" s="26">
        <f t="shared" si="1"/>
        <v>14</v>
      </c>
      <c r="B23" s="36"/>
      <c r="C23" s="33"/>
      <c r="D23" s="33"/>
      <c r="E23" s="35"/>
      <c r="F23" s="35"/>
      <c r="G23" s="35"/>
      <c r="H23" s="35"/>
      <c r="I23" s="35"/>
      <c r="J23" s="35" t="str">
        <f t="shared" si="2"/>
        <v/>
      </c>
      <c r="K23" s="35"/>
      <c r="L23" s="35" t="str">
        <f t="shared" si="3"/>
        <v/>
      </c>
      <c r="M23" s="35" t="str">
        <f t="shared" si="4"/>
        <v/>
      </c>
      <c r="N23" s="25"/>
      <c r="O23" s="31">
        <f t="shared" si="5"/>
        <v>0</v>
      </c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 ht="12.75" customHeight="1">
      <c r="A24" s="26">
        <f t="shared" si="1"/>
        <v>14</v>
      </c>
      <c r="B24" s="36"/>
      <c r="C24" s="28"/>
      <c r="D24" s="28"/>
      <c r="E24" s="30"/>
      <c r="F24" s="30"/>
      <c r="G24" s="30"/>
      <c r="H24" s="30"/>
      <c r="I24" s="30"/>
      <c r="J24" s="30" t="str">
        <f t="shared" si="2"/>
        <v/>
      </c>
      <c r="K24" s="30"/>
      <c r="L24" s="30" t="str">
        <f t="shared" si="3"/>
        <v/>
      </c>
      <c r="M24" s="30" t="str">
        <f t="shared" si="4"/>
        <v/>
      </c>
      <c r="N24" s="25"/>
      <c r="O24" s="31">
        <f t="shared" si="5"/>
        <v>0</v>
      </c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 ht="12.75" customHeight="1">
      <c r="A25" s="26">
        <f t="shared" si="1"/>
        <v>14</v>
      </c>
      <c r="B25" s="36"/>
      <c r="C25" s="33"/>
      <c r="D25" s="33"/>
      <c r="E25" s="35"/>
      <c r="F25" s="35"/>
      <c r="G25" s="35"/>
      <c r="H25" s="35"/>
      <c r="I25" s="35"/>
      <c r="J25" s="35" t="str">
        <f t="shared" si="2"/>
        <v/>
      </c>
      <c r="K25" s="35"/>
      <c r="L25" s="35" t="str">
        <f t="shared" si="3"/>
        <v/>
      </c>
      <c r="M25" s="35" t="str">
        <f t="shared" si="4"/>
        <v/>
      </c>
      <c r="N25" s="25"/>
      <c r="O25" s="31">
        <f t="shared" si="5"/>
        <v>0</v>
      </c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 ht="12.75" customHeight="1">
      <c r="A26" s="26">
        <f t="shared" si="1"/>
        <v>14</v>
      </c>
      <c r="B26" s="36"/>
      <c r="C26" s="33"/>
      <c r="D26" s="33"/>
      <c r="E26" s="35"/>
      <c r="F26" s="35"/>
      <c r="G26" s="35"/>
      <c r="H26" s="35"/>
      <c r="I26" s="35"/>
      <c r="J26" s="35" t="str">
        <f t="shared" si="2"/>
        <v/>
      </c>
      <c r="K26" s="35"/>
      <c r="L26" s="35" t="str">
        <f t="shared" si="3"/>
        <v/>
      </c>
      <c r="M26" s="35" t="str">
        <f t="shared" si="4"/>
        <v/>
      </c>
      <c r="N26" s="25"/>
      <c r="O26" s="31">
        <f t="shared" si="5"/>
        <v>0</v>
      </c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 ht="12.75" customHeight="1">
      <c r="A27" s="26">
        <f t="shared" si="1"/>
        <v>14</v>
      </c>
      <c r="B27" s="36"/>
      <c r="C27" s="39"/>
      <c r="D27" s="39"/>
      <c r="E27" s="30"/>
      <c r="F27" s="30"/>
      <c r="G27" s="30"/>
      <c r="H27" s="30"/>
      <c r="I27" s="30"/>
      <c r="J27" s="30" t="str">
        <f t="shared" si="2"/>
        <v/>
      </c>
      <c r="K27" s="30"/>
      <c r="L27" s="30" t="str">
        <f t="shared" si="3"/>
        <v/>
      </c>
      <c r="M27" s="30" t="str">
        <f t="shared" si="4"/>
        <v/>
      </c>
      <c r="N27" s="25"/>
      <c r="O27" s="31">
        <f t="shared" si="5"/>
        <v>0</v>
      </c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 ht="12.75" customHeight="1">
      <c r="A28" s="26">
        <f t="shared" si="1"/>
        <v>14</v>
      </c>
      <c r="B28" s="36"/>
      <c r="C28" s="39"/>
      <c r="D28" s="39"/>
      <c r="E28" s="43"/>
      <c r="F28" s="43"/>
      <c r="G28" s="43"/>
      <c r="H28" s="43"/>
      <c r="I28" s="43"/>
      <c r="J28" s="43" t="str">
        <f t="shared" si="2"/>
        <v/>
      </c>
      <c r="K28" s="43"/>
      <c r="L28" s="43" t="str">
        <f t="shared" si="3"/>
        <v/>
      </c>
      <c r="M28" s="43" t="str">
        <f t="shared" si="4"/>
        <v/>
      </c>
      <c r="N28" s="25"/>
      <c r="O28" s="31">
        <f t="shared" si="5"/>
        <v>0</v>
      </c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ht="12.75" customHeight="1">
      <c r="A29" s="26">
        <f t="shared" si="1"/>
        <v>14</v>
      </c>
      <c r="B29" s="36"/>
      <c r="C29" s="28"/>
      <c r="D29" s="28"/>
      <c r="E29" s="30"/>
      <c r="F29" s="30"/>
      <c r="G29" s="30"/>
      <c r="H29" s="30"/>
      <c r="I29" s="30"/>
      <c r="J29" s="30" t="str">
        <f t="shared" si="2"/>
        <v/>
      </c>
      <c r="K29" s="30"/>
      <c r="L29" s="30" t="str">
        <f t="shared" si="3"/>
        <v/>
      </c>
      <c r="M29" s="30" t="str">
        <f t="shared" si="4"/>
        <v/>
      </c>
      <c r="N29" s="25"/>
      <c r="O29" s="31">
        <f t="shared" si="5"/>
        <v>0</v>
      </c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 ht="12.75" customHeight="1">
      <c r="A30" s="26">
        <f t="shared" si="1"/>
        <v>14</v>
      </c>
      <c r="B30" s="36"/>
      <c r="C30" s="33"/>
      <c r="D30" s="33"/>
      <c r="E30" s="35"/>
      <c r="F30" s="35"/>
      <c r="G30" s="35"/>
      <c r="H30" s="35"/>
      <c r="I30" s="35"/>
      <c r="J30" s="35" t="str">
        <f t="shared" si="2"/>
        <v/>
      </c>
      <c r="K30" s="35"/>
      <c r="L30" s="35" t="str">
        <f t="shared" si="3"/>
        <v/>
      </c>
      <c r="M30" s="35" t="str">
        <f t="shared" si="4"/>
        <v/>
      </c>
      <c r="N30" s="25"/>
      <c r="O30" s="31">
        <f t="shared" si="5"/>
        <v>0</v>
      </c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 ht="12.75" customHeight="1">
      <c r="A31" s="28">
        <f t="shared" si="1"/>
        <v>14</v>
      </c>
      <c r="B31" s="36"/>
      <c r="C31" s="33"/>
      <c r="D31" s="33"/>
      <c r="E31" s="35"/>
      <c r="F31" s="35"/>
      <c r="G31" s="35"/>
      <c r="H31" s="35"/>
      <c r="I31" s="35"/>
      <c r="J31" s="35" t="str">
        <f t="shared" si="2"/>
        <v/>
      </c>
      <c r="K31" s="35"/>
      <c r="L31" s="35" t="str">
        <f t="shared" si="3"/>
        <v/>
      </c>
      <c r="M31" s="35" t="str">
        <f t="shared" si="4"/>
        <v/>
      </c>
      <c r="N31" s="25"/>
      <c r="O31" s="31">
        <f t="shared" si="5"/>
        <v>0</v>
      </c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 ht="12.75" customHeight="1">
      <c r="A32" s="28">
        <f t="shared" si="1"/>
        <v>14</v>
      </c>
      <c r="B32" s="36"/>
      <c r="C32" s="28"/>
      <c r="D32" s="28"/>
      <c r="E32" s="30"/>
      <c r="F32" s="30"/>
      <c r="G32" s="30"/>
      <c r="H32" s="30"/>
      <c r="I32" s="30"/>
      <c r="J32" s="30" t="str">
        <f t="shared" si="2"/>
        <v/>
      </c>
      <c r="K32" s="30"/>
      <c r="L32" s="30" t="str">
        <f t="shared" si="3"/>
        <v/>
      </c>
      <c r="M32" s="30" t="str">
        <f t="shared" si="4"/>
        <v/>
      </c>
      <c r="N32" s="25"/>
      <c r="O32" s="31">
        <f t="shared" si="5"/>
        <v>0</v>
      </c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 ht="12.75" customHeight="1">
      <c r="A33" s="28">
        <f t="shared" si="1"/>
        <v>14</v>
      </c>
      <c r="B33" s="36"/>
      <c r="C33" s="28"/>
      <c r="D33" s="28"/>
      <c r="E33" s="30"/>
      <c r="F33" s="30"/>
      <c r="G33" s="30"/>
      <c r="H33" s="30"/>
      <c r="I33" s="30"/>
      <c r="J33" s="30" t="str">
        <f t="shared" si="2"/>
        <v/>
      </c>
      <c r="K33" s="30"/>
      <c r="L33" s="30" t="str">
        <f t="shared" si="3"/>
        <v/>
      </c>
      <c r="M33" s="30" t="str">
        <f t="shared" si="4"/>
        <v/>
      </c>
      <c r="N33" s="25"/>
      <c r="O33" s="31">
        <f t="shared" si="5"/>
        <v>0</v>
      </c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ht="12.75" customHeight="1">
      <c r="A34" s="28">
        <v>31.0</v>
      </c>
      <c r="B34" s="36"/>
      <c r="C34" s="33"/>
      <c r="D34" s="33"/>
      <c r="E34" s="35"/>
      <c r="F34" s="35"/>
      <c r="G34" s="35"/>
      <c r="H34" s="35"/>
      <c r="I34" s="35"/>
      <c r="J34" s="35" t="str">
        <f t="shared" si="2"/>
        <v/>
      </c>
      <c r="K34" s="35"/>
      <c r="L34" s="35" t="str">
        <f t="shared" si="3"/>
        <v/>
      </c>
      <c r="M34" s="35" t="str">
        <f t="shared" si="4"/>
        <v/>
      </c>
      <c r="N34" s="25"/>
      <c r="O34" s="31">
        <f t="shared" si="5"/>
        <v>0</v>
      </c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 ht="12.75" customHeight="1">
      <c r="A35" s="28">
        <v>32.0</v>
      </c>
      <c r="B35" s="36"/>
      <c r="C35" s="28"/>
      <c r="D35" s="28"/>
      <c r="E35" s="44"/>
      <c r="F35" s="44"/>
      <c r="G35" s="44"/>
      <c r="H35" s="44"/>
      <c r="I35" s="44"/>
      <c r="J35" s="44" t="str">
        <f t="shared" si="2"/>
        <v/>
      </c>
      <c r="K35" s="45"/>
      <c r="L35" s="44" t="str">
        <f t="shared" si="3"/>
        <v/>
      </c>
      <c r="M35" s="44" t="str">
        <f>IF(COUNTBLANK(E35:I35)&gt;0,"",IF(COUNTIF(E35:I35,"DNF")+COUNTIF(E35:I35,"DNS")&gt;1,"DNF",IF(COUNTIF(E35:I35,"DNF")+COUNTIF(E35:I35,"DNS")&gt;0,(SUM(E35:I35)-J35)/3,(SUM(E35:I35)-J35-L35)/3)))</f>
        <v/>
      </c>
      <c r="N35" s="25"/>
      <c r="O35" s="31">
        <f t="shared" si="5"/>
        <v>0</v>
      </c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 ht="12.75" customHeight="1">
      <c r="A36" s="33">
        <f>IF(AND(M34=M35,J34=J35),A35,ROW()-4)</f>
        <v>32</v>
      </c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 ht="12.75" customHeight="1">
      <c r="E37" s="40"/>
      <c r="F37" s="40"/>
      <c r="G37" s="40"/>
      <c r="H37" s="40"/>
      <c r="I37" s="40"/>
      <c r="J37" s="40"/>
      <c r="K37" s="40"/>
      <c r="L37" s="40"/>
      <c r="M37" s="40"/>
    </row>
    <row r="38" ht="12.75" customHeight="1">
      <c r="E38" s="40"/>
      <c r="F38" s="40"/>
      <c r="G38" s="40"/>
      <c r="H38" s="40"/>
      <c r="I38" s="40"/>
      <c r="J38" s="40"/>
      <c r="K38" s="40"/>
      <c r="L38" s="40"/>
      <c r="M38" s="40"/>
    </row>
    <row r="39" ht="12.75" customHeight="1">
      <c r="E39" s="40"/>
      <c r="F39" s="40"/>
      <c r="G39" s="40"/>
      <c r="H39" s="40"/>
      <c r="I39" s="40"/>
      <c r="J39" s="40"/>
      <c r="K39" s="40"/>
      <c r="L39" s="40"/>
      <c r="M39" s="40"/>
    </row>
    <row r="40" ht="12.75" customHeight="1">
      <c r="E40" s="40"/>
      <c r="F40" s="40"/>
      <c r="G40" s="40"/>
      <c r="H40" s="40"/>
      <c r="I40" s="40"/>
      <c r="J40" s="40"/>
      <c r="K40" s="40"/>
      <c r="L40" s="40"/>
      <c r="M40" s="40"/>
    </row>
    <row r="41" ht="12.75" customHeight="1">
      <c r="E41" s="40"/>
      <c r="F41" s="40"/>
      <c r="G41" s="40"/>
      <c r="H41" s="40"/>
      <c r="I41" s="40"/>
      <c r="J41" s="40"/>
      <c r="K41" s="40"/>
      <c r="L41" s="40"/>
      <c r="M41" s="40"/>
    </row>
    <row r="42" ht="12.75" customHeight="1">
      <c r="E42" s="40"/>
      <c r="F42" s="40"/>
      <c r="G42" s="40"/>
      <c r="H42" s="40"/>
      <c r="I42" s="40"/>
      <c r="J42" s="40"/>
      <c r="K42" s="40"/>
      <c r="L42" s="40"/>
      <c r="M42" s="40"/>
    </row>
    <row r="43" ht="12.75" customHeight="1">
      <c r="E43" s="40"/>
      <c r="F43" s="40"/>
      <c r="G43" s="40"/>
      <c r="H43" s="40"/>
      <c r="I43" s="40"/>
      <c r="J43" s="40"/>
      <c r="K43" s="40"/>
      <c r="L43" s="40"/>
      <c r="M43" s="40"/>
    </row>
    <row r="44" ht="12.75" customHeight="1">
      <c r="E44" s="40"/>
      <c r="F44" s="40"/>
      <c r="G44" s="40"/>
      <c r="H44" s="40"/>
      <c r="I44" s="40"/>
      <c r="J44" s="40"/>
      <c r="K44" s="40"/>
      <c r="L44" s="40"/>
      <c r="M44" s="40"/>
    </row>
    <row r="45" ht="12.75" customHeight="1">
      <c r="E45" s="40"/>
      <c r="F45" s="40"/>
      <c r="G45" s="40"/>
      <c r="H45" s="40"/>
      <c r="I45" s="40"/>
      <c r="J45" s="40"/>
      <c r="K45" s="40"/>
      <c r="L45" s="40"/>
      <c r="M45" s="40"/>
    </row>
    <row r="46" ht="12.75" customHeight="1">
      <c r="E46" s="40"/>
      <c r="F46" s="40"/>
      <c r="G46" s="40"/>
      <c r="H46" s="40"/>
      <c r="I46" s="40"/>
      <c r="J46" s="40"/>
      <c r="K46" s="40"/>
      <c r="L46" s="40"/>
      <c r="M46" s="40"/>
    </row>
    <row r="47" ht="12.75" customHeight="1">
      <c r="E47" s="40"/>
      <c r="F47" s="40"/>
      <c r="G47" s="40"/>
      <c r="H47" s="40"/>
      <c r="I47" s="40"/>
      <c r="J47" s="40"/>
      <c r="K47" s="40"/>
      <c r="L47" s="40"/>
      <c r="M47" s="40"/>
    </row>
    <row r="48" ht="12.75" customHeight="1">
      <c r="E48" s="40"/>
      <c r="F48" s="40"/>
      <c r="G48" s="40"/>
      <c r="H48" s="40"/>
      <c r="I48" s="40"/>
      <c r="J48" s="40"/>
      <c r="K48" s="40"/>
      <c r="L48" s="40"/>
      <c r="M48" s="40"/>
    </row>
    <row r="49" ht="12.75" customHeight="1">
      <c r="E49" s="40"/>
      <c r="F49" s="40"/>
      <c r="G49" s="40"/>
      <c r="H49" s="40"/>
      <c r="I49" s="40"/>
      <c r="J49" s="40"/>
      <c r="K49" s="40"/>
      <c r="L49" s="40"/>
      <c r="M49" s="40"/>
    </row>
    <row r="50" ht="12.75" customHeight="1">
      <c r="E50" s="40"/>
      <c r="F50" s="40"/>
      <c r="G50" s="40"/>
      <c r="H50" s="40"/>
      <c r="I50" s="40"/>
      <c r="J50" s="40"/>
      <c r="K50" s="40"/>
      <c r="L50" s="40"/>
      <c r="M50" s="40"/>
    </row>
    <row r="51" ht="12.75" customHeight="1">
      <c r="E51" s="40"/>
      <c r="F51" s="40"/>
      <c r="G51" s="40"/>
      <c r="H51" s="40"/>
      <c r="I51" s="40"/>
      <c r="J51" s="40"/>
      <c r="K51" s="40"/>
      <c r="L51" s="40"/>
      <c r="M51" s="40"/>
    </row>
    <row r="52" ht="12.75" customHeight="1">
      <c r="E52" s="40"/>
      <c r="F52" s="40"/>
      <c r="G52" s="40"/>
      <c r="H52" s="40"/>
      <c r="I52" s="40"/>
      <c r="J52" s="40"/>
      <c r="K52" s="40"/>
      <c r="L52" s="40"/>
      <c r="M52" s="40"/>
    </row>
    <row r="53" ht="12.75" customHeight="1">
      <c r="E53" s="40"/>
      <c r="F53" s="40"/>
      <c r="G53" s="40"/>
      <c r="H53" s="40"/>
      <c r="I53" s="40"/>
      <c r="J53" s="40"/>
      <c r="K53" s="40"/>
      <c r="L53" s="40"/>
      <c r="M53" s="40"/>
    </row>
    <row r="54" ht="12.75" customHeight="1">
      <c r="E54" s="40"/>
      <c r="F54" s="40"/>
      <c r="G54" s="40"/>
      <c r="H54" s="40"/>
      <c r="I54" s="40"/>
      <c r="J54" s="40"/>
      <c r="K54" s="40"/>
      <c r="L54" s="40"/>
      <c r="M54" s="40"/>
    </row>
    <row r="55" ht="12.75" customHeight="1">
      <c r="E55" s="40"/>
      <c r="F55" s="40"/>
      <c r="G55" s="40"/>
      <c r="H55" s="40"/>
      <c r="I55" s="40"/>
      <c r="J55" s="40"/>
      <c r="K55" s="40"/>
      <c r="L55" s="40"/>
      <c r="M55" s="40"/>
    </row>
    <row r="56" ht="12.75" customHeight="1">
      <c r="E56" s="40"/>
      <c r="F56" s="40"/>
      <c r="G56" s="40"/>
      <c r="H56" s="40"/>
      <c r="I56" s="40"/>
      <c r="J56" s="40"/>
      <c r="K56" s="40"/>
      <c r="L56" s="40"/>
      <c r="M56" s="40"/>
    </row>
    <row r="57" ht="12.75" customHeight="1">
      <c r="E57" s="40"/>
      <c r="F57" s="40"/>
      <c r="G57" s="40"/>
      <c r="H57" s="40"/>
      <c r="I57" s="40"/>
      <c r="J57" s="40"/>
      <c r="K57" s="40"/>
      <c r="L57" s="40"/>
      <c r="M57" s="40"/>
    </row>
    <row r="58" ht="12.75" customHeight="1">
      <c r="E58" s="40"/>
      <c r="F58" s="40"/>
      <c r="G58" s="40"/>
      <c r="H58" s="40"/>
      <c r="I58" s="40"/>
      <c r="J58" s="40"/>
      <c r="K58" s="40"/>
      <c r="L58" s="40"/>
      <c r="M58" s="40"/>
    </row>
    <row r="59" ht="12.75" customHeight="1">
      <c r="E59" s="40"/>
      <c r="F59" s="40"/>
      <c r="G59" s="40"/>
      <c r="H59" s="40"/>
      <c r="I59" s="40"/>
      <c r="J59" s="40"/>
      <c r="K59" s="40"/>
      <c r="L59" s="40"/>
      <c r="M59" s="40"/>
    </row>
    <row r="60" ht="12.75" customHeight="1">
      <c r="E60" s="40"/>
      <c r="F60" s="40"/>
      <c r="G60" s="40"/>
      <c r="H60" s="40"/>
      <c r="I60" s="40"/>
      <c r="J60" s="40"/>
      <c r="K60" s="40"/>
      <c r="L60" s="40"/>
      <c r="M60" s="40"/>
    </row>
    <row r="61" ht="12.75" customHeight="1">
      <c r="E61" s="40"/>
      <c r="F61" s="40"/>
      <c r="G61" s="40"/>
      <c r="H61" s="40"/>
      <c r="I61" s="40"/>
      <c r="J61" s="40"/>
      <c r="K61" s="40"/>
      <c r="L61" s="40"/>
      <c r="M61" s="40"/>
    </row>
    <row r="62" ht="12.75" customHeight="1">
      <c r="E62" s="40"/>
      <c r="F62" s="40"/>
      <c r="G62" s="40"/>
      <c r="H62" s="40"/>
      <c r="I62" s="40"/>
      <c r="J62" s="40"/>
      <c r="K62" s="40"/>
      <c r="L62" s="40"/>
      <c r="M62" s="40"/>
    </row>
    <row r="63" ht="12.75" customHeight="1">
      <c r="E63" s="40"/>
      <c r="F63" s="40"/>
      <c r="G63" s="40"/>
      <c r="H63" s="40"/>
      <c r="I63" s="40"/>
      <c r="J63" s="40"/>
      <c r="K63" s="40"/>
      <c r="L63" s="40"/>
      <c r="M63" s="40"/>
    </row>
    <row r="64" ht="12.75" customHeight="1">
      <c r="E64" s="40"/>
      <c r="F64" s="40"/>
      <c r="G64" s="40"/>
      <c r="H64" s="40"/>
      <c r="I64" s="40"/>
      <c r="J64" s="40"/>
      <c r="K64" s="40"/>
      <c r="L64" s="40"/>
      <c r="M64" s="40"/>
    </row>
    <row r="65" ht="12.75" customHeight="1">
      <c r="E65" s="40"/>
      <c r="F65" s="40"/>
      <c r="G65" s="40"/>
      <c r="H65" s="40"/>
      <c r="I65" s="40"/>
      <c r="J65" s="40"/>
      <c r="K65" s="40"/>
      <c r="L65" s="40"/>
      <c r="M65" s="40"/>
    </row>
    <row r="66" ht="12.75" customHeight="1">
      <c r="E66" s="40"/>
      <c r="F66" s="40"/>
      <c r="G66" s="40"/>
      <c r="H66" s="40"/>
      <c r="I66" s="40"/>
      <c r="J66" s="40"/>
      <c r="K66" s="40"/>
      <c r="L66" s="40"/>
      <c r="M66" s="40"/>
    </row>
    <row r="67" ht="12.75" customHeight="1">
      <c r="E67" s="40"/>
      <c r="F67" s="40"/>
      <c r="G67" s="40"/>
      <c r="H67" s="40"/>
      <c r="I67" s="40"/>
      <c r="J67" s="40"/>
      <c r="K67" s="40"/>
      <c r="L67" s="40"/>
      <c r="M67" s="40"/>
    </row>
    <row r="68" ht="12.75" customHeight="1">
      <c r="E68" s="40"/>
      <c r="F68" s="40"/>
      <c r="G68" s="40"/>
      <c r="H68" s="40"/>
      <c r="I68" s="40"/>
      <c r="J68" s="40"/>
      <c r="K68" s="40"/>
      <c r="L68" s="40"/>
      <c r="M68" s="40"/>
    </row>
    <row r="69" ht="12.75" customHeight="1">
      <c r="E69" s="40"/>
      <c r="F69" s="40"/>
      <c r="G69" s="40"/>
      <c r="H69" s="40"/>
      <c r="I69" s="40"/>
      <c r="J69" s="40"/>
      <c r="K69" s="40"/>
      <c r="L69" s="40"/>
      <c r="M69" s="40"/>
    </row>
    <row r="70" ht="12.75" customHeight="1">
      <c r="E70" s="40"/>
      <c r="F70" s="40"/>
      <c r="G70" s="40"/>
      <c r="H70" s="40"/>
      <c r="I70" s="40"/>
      <c r="J70" s="40"/>
      <c r="K70" s="40"/>
      <c r="L70" s="40"/>
      <c r="M70" s="40"/>
    </row>
    <row r="71" ht="12.75" customHeight="1">
      <c r="E71" s="40"/>
      <c r="F71" s="40"/>
      <c r="G71" s="40"/>
      <c r="H71" s="40"/>
      <c r="I71" s="40"/>
      <c r="J71" s="40"/>
      <c r="K71" s="40"/>
      <c r="L71" s="40"/>
      <c r="M71" s="40"/>
    </row>
    <row r="72" ht="12.75" customHeight="1">
      <c r="E72" s="40"/>
      <c r="F72" s="40"/>
      <c r="G72" s="40"/>
      <c r="H72" s="40"/>
      <c r="I72" s="40"/>
      <c r="J72" s="40"/>
      <c r="K72" s="40"/>
      <c r="L72" s="40"/>
      <c r="M72" s="40"/>
    </row>
    <row r="73" ht="12.75" customHeight="1">
      <c r="E73" s="40"/>
      <c r="F73" s="40"/>
      <c r="G73" s="40"/>
      <c r="H73" s="40"/>
      <c r="I73" s="40"/>
      <c r="J73" s="40"/>
      <c r="K73" s="40"/>
      <c r="L73" s="40"/>
      <c r="M73" s="40"/>
    </row>
    <row r="74" ht="12.75" customHeight="1">
      <c r="E74" s="40"/>
      <c r="F74" s="40"/>
      <c r="G74" s="40"/>
      <c r="H74" s="40"/>
      <c r="I74" s="40"/>
      <c r="J74" s="40"/>
      <c r="K74" s="40"/>
      <c r="L74" s="40"/>
      <c r="M74" s="40"/>
    </row>
    <row r="75" ht="12.75" customHeight="1">
      <c r="E75" s="40"/>
      <c r="F75" s="40"/>
      <c r="G75" s="40"/>
      <c r="H75" s="40"/>
      <c r="I75" s="40"/>
      <c r="J75" s="40"/>
      <c r="K75" s="40"/>
      <c r="L75" s="40"/>
      <c r="M75" s="40"/>
    </row>
    <row r="76" ht="12.75" customHeight="1">
      <c r="E76" s="40"/>
      <c r="F76" s="40"/>
      <c r="G76" s="40"/>
      <c r="H76" s="40"/>
      <c r="I76" s="40"/>
      <c r="J76" s="40"/>
      <c r="K76" s="40"/>
      <c r="L76" s="40"/>
      <c r="M76" s="40"/>
    </row>
    <row r="77" ht="12.75" customHeight="1">
      <c r="E77" s="40"/>
      <c r="F77" s="40"/>
      <c r="G77" s="40"/>
      <c r="H77" s="40"/>
      <c r="I77" s="40"/>
      <c r="J77" s="40"/>
      <c r="K77" s="40"/>
      <c r="L77" s="40"/>
      <c r="M77" s="40"/>
    </row>
    <row r="78" ht="12.75" customHeight="1">
      <c r="E78" s="40"/>
      <c r="F78" s="40"/>
      <c r="G78" s="40"/>
      <c r="H78" s="40"/>
      <c r="I78" s="40"/>
      <c r="J78" s="40"/>
      <c r="K78" s="40"/>
      <c r="L78" s="40"/>
      <c r="M78" s="40"/>
    </row>
    <row r="79" ht="12.75" customHeight="1">
      <c r="E79" s="40"/>
      <c r="F79" s="40"/>
      <c r="G79" s="40"/>
      <c r="H79" s="40"/>
      <c r="I79" s="40"/>
      <c r="J79" s="40"/>
      <c r="K79" s="40"/>
      <c r="L79" s="40"/>
      <c r="M79" s="40"/>
    </row>
    <row r="80" ht="12.75" customHeight="1">
      <c r="E80" s="40"/>
      <c r="F80" s="40"/>
      <c r="G80" s="40"/>
      <c r="H80" s="40"/>
      <c r="I80" s="40"/>
      <c r="J80" s="40"/>
      <c r="K80" s="40"/>
      <c r="L80" s="40"/>
      <c r="M80" s="40"/>
    </row>
    <row r="81" ht="12.75" customHeight="1">
      <c r="E81" s="40"/>
      <c r="F81" s="40"/>
      <c r="G81" s="40"/>
      <c r="H81" s="40"/>
      <c r="I81" s="40"/>
      <c r="J81" s="40"/>
      <c r="K81" s="40"/>
      <c r="L81" s="40"/>
      <c r="M81" s="40"/>
    </row>
    <row r="82" ht="12.75" customHeight="1">
      <c r="E82" s="40"/>
      <c r="F82" s="40"/>
      <c r="G82" s="40"/>
      <c r="H82" s="40"/>
      <c r="I82" s="40"/>
      <c r="J82" s="40"/>
      <c r="K82" s="40"/>
      <c r="L82" s="40"/>
      <c r="M82" s="40"/>
    </row>
    <row r="83" ht="12.75" customHeight="1">
      <c r="E83" s="40"/>
      <c r="F83" s="40"/>
      <c r="G83" s="40"/>
      <c r="H83" s="40"/>
      <c r="I83" s="40"/>
      <c r="J83" s="40"/>
      <c r="K83" s="40"/>
      <c r="L83" s="40"/>
      <c r="M83" s="40"/>
    </row>
    <row r="84" ht="12.75" customHeight="1">
      <c r="E84" s="40"/>
      <c r="F84" s="40"/>
      <c r="G84" s="40"/>
      <c r="H84" s="40"/>
      <c r="I84" s="40"/>
      <c r="J84" s="40"/>
      <c r="K84" s="40"/>
      <c r="L84" s="40"/>
      <c r="M84" s="40"/>
    </row>
    <row r="85" ht="12.75" customHeight="1">
      <c r="E85" s="40"/>
      <c r="F85" s="40"/>
      <c r="G85" s="40"/>
      <c r="H85" s="40"/>
      <c r="I85" s="40"/>
      <c r="J85" s="40"/>
      <c r="K85" s="40"/>
      <c r="L85" s="40"/>
      <c r="M85" s="40"/>
    </row>
    <row r="86" ht="12.75" customHeight="1">
      <c r="E86" s="40"/>
      <c r="F86" s="40"/>
      <c r="G86" s="40"/>
      <c r="H86" s="40"/>
      <c r="I86" s="40"/>
      <c r="J86" s="40"/>
      <c r="K86" s="40"/>
      <c r="L86" s="40"/>
      <c r="M86" s="40"/>
    </row>
    <row r="87" ht="12.75" customHeight="1">
      <c r="E87" s="40"/>
      <c r="F87" s="40"/>
      <c r="G87" s="40"/>
      <c r="H87" s="40"/>
      <c r="I87" s="40"/>
      <c r="J87" s="40"/>
      <c r="K87" s="40"/>
      <c r="L87" s="40"/>
      <c r="M87" s="40"/>
    </row>
    <row r="88" ht="12.75" customHeight="1">
      <c r="E88" s="40"/>
      <c r="F88" s="40"/>
      <c r="G88" s="40"/>
      <c r="H88" s="40"/>
      <c r="I88" s="40"/>
      <c r="J88" s="40"/>
      <c r="K88" s="40"/>
      <c r="L88" s="40"/>
      <c r="M88" s="40"/>
    </row>
    <row r="89" ht="12.75" customHeight="1">
      <c r="E89" s="40"/>
      <c r="F89" s="40"/>
      <c r="G89" s="40"/>
      <c r="H89" s="40"/>
      <c r="I89" s="40"/>
      <c r="J89" s="40"/>
      <c r="K89" s="40"/>
      <c r="L89" s="40"/>
      <c r="M89" s="40"/>
    </row>
    <row r="90" ht="12.75" customHeight="1">
      <c r="E90" s="40"/>
      <c r="F90" s="40"/>
      <c r="G90" s="40"/>
      <c r="H90" s="40"/>
      <c r="I90" s="40"/>
      <c r="J90" s="40"/>
      <c r="K90" s="40"/>
      <c r="L90" s="40"/>
      <c r="M90" s="40"/>
    </row>
    <row r="91" ht="12.75" customHeight="1">
      <c r="E91" s="40"/>
      <c r="F91" s="40"/>
      <c r="G91" s="40"/>
      <c r="H91" s="40"/>
      <c r="I91" s="40"/>
      <c r="J91" s="40"/>
      <c r="K91" s="40"/>
      <c r="L91" s="40"/>
      <c r="M91" s="40"/>
    </row>
    <row r="92" ht="12.75" customHeight="1">
      <c r="E92" s="40"/>
      <c r="F92" s="40"/>
      <c r="G92" s="40"/>
      <c r="H92" s="40"/>
      <c r="I92" s="40"/>
      <c r="J92" s="40"/>
      <c r="K92" s="40"/>
      <c r="L92" s="40"/>
      <c r="M92" s="40"/>
    </row>
    <row r="93" ht="12.75" customHeight="1">
      <c r="E93" s="40"/>
      <c r="F93" s="40"/>
      <c r="G93" s="40"/>
      <c r="H93" s="40"/>
      <c r="I93" s="40"/>
      <c r="J93" s="40"/>
      <c r="K93" s="40"/>
      <c r="L93" s="40"/>
      <c r="M93" s="40"/>
    </row>
    <row r="94" ht="12.75" customHeight="1">
      <c r="E94" s="40"/>
      <c r="F94" s="40"/>
      <c r="G94" s="40"/>
      <c r="H94" s="40"/>
      <c r="I94" s="40"/>
      <c r="J94" s="40"/>
      <c r="K94" s="40"/>
      <c r="L94" s="40"/>
      <c r="M94" s="40"/>
    </row>
    <row r="95" ht="12.75" customHeight="1">
      <c r="E95" s="40"/>
      <c r="F95" s="40"/>
      <c r="G95" s="40"/>
      <c r="H95" s="40"/>
      <c r="I95" s="40"/>
      <c r="J95" s="40"/>
      <c r="K95" s="40"/>
      <c r="L95" s="40"/>
      <c r="M95" s="40"/>
    </row>
    <row r="96" ht="12.75" customHeight="1">
      <c r="E96" s="40"/>
      <c r="F96" s="40"/>
      <c r="G96" s="40"/>
      <c r="H96" s="40"/>
      <c r="I96" s="40"/>
      <c r="J96" s="40"/>
      <c r="K96" s="40"/>
      <c r="L96" s="40"/>
      <c r="M96" s="40"/>
    </row>
    <row r="97" ht="12.75" customHeight="1">
      <c r="E97" s="40"/>
      <c r="F97" s="40"/>
      <c r="G97" s="40"/>
      <c r="H97" s="40"/>
      <c r="I97" s="40"/>
      <c r="J97" s="40"/>
      <c r="K97" s="40"/>
      <c r="L97" s="40"/>
      <c r="M97" s="40"/>
    </row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</sheetData>
  <printOptions/>
  <pageMargins bottom="1.0" footer="0.0" header="0.0" left="0.75" right="0.75" top="1.0"/>
  <pageSetup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38"/>
    <col customWidth="1" min="2" max="2" width="52.88"/>
    <col customWidth="1" hidden="1" min="3" max="3" width="14.13"/>
    <col customWidth="1" hidden="1" min="4" max="4" width="13.38"/>
    <col customWidth="1" min="5" max="9" width="10.88"/>
    <col customWidth="1" min="10" max="10" width="12.0"/>
    <col customWidth="1" hidden="1" min="11" max="11" width="8.13"/>
    <col customWidth="1" min="12" max="12" width="13.38"/>
    <col customWidth="1" min="13" max="13" width="13.88"/>
    <col customWidth="1" hidden="1" min="14" max="14" width="6.88"/>
    <col customWidth="1" min="15" max="26" width="9.13"/>
  </cols>
  <sheetData>
    <row r="1" ht="12.75" customHeight="1">
      <c r="A1" s="46" t="s">
        <v>68</v>
      </c>
      <c r="B1" s="18"/>
      <c r="C1" s="18"/>
      <c r="D1" s="18"/>
      <c r="E1" s="18"/>
      <c r="F1" s="18"/>
      <c r="G1" s="18"/>
      <c r="H1" s="18"/>
      <c r="I1" s="18"/>
      <c r="J1" s="47"/>
      <c r="K1" s="47"/>
      <c r="L1" s="47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 ht="12.75" customHeight="1">
      <c r="A2" s="48" t="s">
        <v>28</v>
      </c>
      <c r="B2" s="19"/>
      <c r="C2" s="19"/>
      <c r="D2" s="19"/>
      <c r="E2" s="19"/>
      <c r="F2" s="20"/>
      <c r="J2" s="49"/>
      <c r="K2" s="50"/>
      <c r="L2" s="50"/>
    </row>
    <row r="3" ht="12.75" customHeight="1">
      <c r="A3" s="48" t="s">
        <v>29</v>
      </c>
      <c r="B3" s="19"/>
      <c r="J3" s="49"/>
      <c r="K3" s="50"/>
      <c r="L3" s="50"/>
    </row>
    <row r="4" ht="12.75" customHeight="1">
      <c r="A4" s="51" t="s">
        <v>30</v>
      </c>
      <c r="B4" s="52" t="s">
        <v>3</v>
      </c>
      <c r="C4" s="52" t="s">
        <v>4</v>
      </c>
      <c r="D4" s="52" t="s">
        <v>5</v>
      </c>
      <c r="E4" s="24">
        <v>1.0</v>
      </c>
      <c r="F4" s="24">
        <v>2.0</v>
      </c>
      <c r="G4" s="24">
        <v>3.0</v>
      </c>
      <c r="H4" s="24">
        <v>4.0</v>
      </c>
      <c r="I4" s="24">
        <v>5.0</v>
      </c>
      <c r="J4" s="53" t="s">
        <v>31</v>
      </c>
      <c r="K4" s="54" t="s">
        <v>32</v>
      </c>
      <c r="L4" s="53" t="s">
        <v>33</v>
      </c>
      <c r="M4" s="24" t="s">
        <v>34</v>
      </c>
      <c r="N4" s="52" t="s">
        <v>32</v>
      </c>
    </row>
    <row r="5" ht="12.75" customHeight="1">
      <c r="A5" s="55">
        <f t="shared" ref="A5:A36" si="1">IF(AND(M4=M5,J4=J5),A4,ROW()-4)</f>
        <v>1</v>
      </c>
      <c r="B5" s="27" t="s">
        <v>39</v>
      </c>
      <c r="C5" s="56"/>
      <c r="D5" s="56"/>
      <c r="E5" s="57">
        <v>2.81</v>
      </c>
      <c r="F5" s="57">
        <v>3.82</v>
      </c>
      <c r="G5" s="57">
        <v>2.0</v>
      </c>
      <c r="H5" s="57">
        <v>4.59</v>
      </c>
      <c r="I5" s="57">
        <v>2.8</v>
      </c>
      <c r="J5" s="58">
        <f t="shared" ref="J5:J41" si="2">IF(MIN(E5:I5)&gt;0,MIN(E5:I5),IF(COUNTBLANK(E5:I5)=5,"","DNF"))</f>
        <v>2</v>
      </c>
      <c r="K5" s="58"/>
      <c r="L5" s="58">
        <f t="shared" ref="L5:L154" si="3">IF(COUNTBLANK(E5:I5)&gt;0,"",IF(COUNTIF(E5:I5,"DNF")+COUNTIF(E5:I5,"DNS")&gt;0,"DNF",MAX(E5:I5)))</f>
        <v>4.59</v>
      </c>
      <c r="M5" s="59">
        <f t="shared" ref="M5:M154" si="4">IF(COUNTBLANK(E5:I5)&gt;0,"",IF(COUNTIF(E5:I5,"DNF")+COUNTIF(E5:I5,"DNS")&gt;1,"DNF",ROUND(IF(COUNTIF(E5:I5,"DNF")+COUNTIF(E5:I5,"DNS")&gt;0,(SUM(E5:I5)-J5)/3,(SUM(E5:I5)-J5-L5)/3),2)))</f>
        <v>3.14</v>
      </c>
      <c r="N5" s="56"/>
    </row>
    <row r="6" ht="12.75" customHeight="1">
      <c r="A6" s="55">
        <f t="shared" si="1"/>
        <v>2</v>
      </c>
      <c r="B6" s="27" t="s">
        <v>36</v>
      </c>
      <c r="C6" s="56"/>
      <c r="D6" s="56"/>
      <c r="E6" s="57">
        <v>2.89</v>
      </c>
      <c r="F6" s="57">
        <v>3.64</v>
      </c>
      <c r="G6" s="57">
        <v>2.82</v>
      </c>
      <c r="H6" s="57">
        <v>3.81</v>
      </c>
      <c r="I6" s="57">
        <v>3.28</v>
      </c>
      <c r="J6" s="58">
        <f t="shared" si="2"/>
        <v>2.82</v>
      </c>
      <c r="K6" s="58"/>
      <c r="L6" s="58">
        <f t="shared" si="3"/>
        <v>3.81</v>
      </c>
      <c r="M6" s="59">
        <f t="shared" si="4"/>
        <v>3.27</v>
      </c>
      <c r="N6" s="56"/>
    </row>
    <row r="7" ht="12.75" customHeight="1">
      <c r="A7" s="55">
        <f t="shared" si="1"/>
        <v>3</v>
      </c>
      <c r="B7" s="27" t="s">
        <v>69</v>
      </c>
      <c r="C7" s="56"/>
      <c r="D7" s="56"/>
      <c r="E7" s="57">
        <v>3.85</v>
      </c>
      <c r="F7" s="57">
        <v>3.51</v>
      </c>
      <c r="G7" s="57">
        <v>3.45</v>
      </c>
      <c r="H7" s="57">
        <v>3.31</v>
      </c>
      <c r="I7" s="57">
        <v>2.72</v>
      </c>
      <c r="J7" s="58">
        <f t="shared" si="2"/>
        <v>2.72</v>
      </c>
      <c r="K7" s="58"/>
      <c r="L7" s="58">
        <f t="shared" si="3"/>
        <v>3.85</v>
      </c>
      <c r="M7" s="59">
        <f t="shared" si="4"/>
        <v>3.42</v>
      </c>
      <c r="N7" s="56"/>
    </row>
    <row r="8" ht="12.75" customHeight="1">
      <c r="A8" s="55">
        <f t="shared" si="1"/>
        <v>4</v>
      </c>
      <c r="B8" s="27" t="s">
        <v>40</v>
      </c>
      <c r="C8" s="56"/>
      <c r="D8" s="56"/>
      <c r="E8" s="57">
        <v>4.34</v>
      </c>
      <c r="F8" s="57">
        <v>5.16</v>
      </c>
      <c r="G8" s="57">
        <v>4.33</v>
      </c>
      <c r="H8" s="57">
        <v>4.48</v>
      </c>
      <c r="I8" s="57">
        <v>3.58</v>
      </c>
      <c r="J8" s="58">
        <f t="shared" si="2"/>
        <v>3.58</v>
      </c>
      <c r="K8" s="58"/>
      <c r="L8" s="58">
        <f t="shared" si="3"/>
        <v>5.16</v>
      </c>
      <c r="M8" s="59">
        <f t="shared" si="4"/>
        <v>4.38</v>
      </c>
      <c r="N8" s="56"/>
    </row>
    <row r="9" ht="12.75" customHeight="1">
      <c r="A9" s="55">
        <f t="shared" si="1"/>
        <v>5</v>
      </c>
      <c r="B9" s="27" t="s">
        <v>50</v>
      </c>
      <c r="C9" s="56"/>
      <c r="D9" s="56"/>
      <c r="E9" s="57">
        <v>7.0</v>
      </c>
      <c r="F9" s="57">
        <v>4.88</v>
      </c>
      <c r="G9" s="57">
        <v>4.19</v>
      </c>
      <c r="H9" s="57">
        <v>4.34</v>
      </c>
      <c r="I9" s="57">
        <v>4.18</v>
      </c>
      <c r="J9" s="58">
        <f t="shared" si="2"/>
        <v>4.18</v>
      </c>
      <c r="K9" s="58"/>
      <c r="L9" s="58">
        <f t="shared" si="3"/>
        <v>7</v>
      </c>
      <c r="M9" s="59">
        <f t="shared" si="4"/>
        <v>4.47</v>
      </c>
      <c r="N9" s="56"/>
    </row>
    <row r="10" ht="12.75" customHeight="1">
      <c r="A10" s="55">
        <f t="shared" si="1"/>
        <v>6</v>
      </c>
      <c r="B10" s="27" t="s">
        <v>44</v>
      </c>
      <c r="C10" s="56"/>
      <c r="D10" s="56"/>
      <c r="E10" s="57">
        <v>5.15</v>
      </c>
      <c r="F10" s="57">
        <v>4.0</v>
      </c>
      <c r="G10" s="57">
        <v>4.48</v>
      </c>
      <c r="H10" s="57" t="s">
        <v>49</v>
      </c>
      <c r="I10" s="57">
        <v>3.73</v>
      </c>
      <c r="J10" s="58">
        <f t="shared" si="2"/>
        <v>3.73</v>
      </c>
      <c r="K10" s="58"/>
      <c r="L10" s="58" t="str">
        <f t="shared" si="3"/>
        <v>DNF</v>
      </c>
      <c r="M10" s="59">
        <f t="shared" si="4"/>
        <v>4.54</v>
      </c>
      <c r="N10" s="56"/>
    </row>
    <row r="11" ht="12.75" customHeight="1">
      <c r="A11" s="55">
        <f t="shared" si="1"/>
        <v>7</v>
      </c>
      <c r="B11" s="27" t="s">
        <v>70</v>
      </c>
      <c r="C11" s="56"/>
      <c r="D11" s="56"/>
      <c r="E11" s="57">
        <v>7.21</v>
      </c>
      <c r="F11" s="57">
        <v>3.23</v>
      </c>
      <c r="G11" s="57">
        <v>3.37</v>
      </c>
      <c r="H11" s="57">
        <v>5.31</v>
      </c>
      <c r="I11" s="57">
        <v>5.48</v>
      </c>
      <c r="J11" s="58">
        <f t="shared" si="2"/>
        <v>3.23</v>
      </c>
      <c r="K11" s="58"/>
      <c r="L11" s="58">
        <f t="shared" si="3"/>
        <v>7.21</v>
      </c>
      <c r="M11" s="59">
        <f t="shared" si="4"/>
        <v>4.72</v>
      </c>
      <c r="N11" s="56"/>
    </row>
    <row r="12" ht="12.75" customHeight="1">
      <c r="A12" s="55">
        <f t="shared" si="1"/>
        <v>8</v>
      </c>
      <c r="B12" s="27" t="s">
        <v>58</v>
      </c>
      <c r="C12" s="56"/>
      <c r="D12" s="56"/>
      <c r="E12" s="57">
        <v>4.89</v>
      </c>
      <c r="F12" s="57">
        <v>5.61</v>
      </c>
      <c r="G12" s="57">
        <v>4.33</v>
      </c>
      <c r="H12" s="57">
        <v>5.18</v>
      </c>
      <c r="I12" s="57">
        <v>4.58</v>
      </c>
      <c r="J12" s="58">
        <f t="shared" si="2"/>
        <v>4.33</v>
      </c>
      <c r="K12" s="58"/>
      <c r="L12" s="58">
        <f t="shared" si="3"/>
        <v>5.61</v>
      </c>
      <c r="M12" s="59">
        <f t="shared" si="4"/>
        <v>4.88</v>
      </c>
      <c r="N12" s="56"/>
    </row>
    <row r="13" ht="12.75" customHeight="1">
      <c r="A13" s="55">
        <f t="shared" si="1"/>
        <v>9</v>
      </c>
      <c r="B13" s="27" t="s">
        <v>56</v>
      </c>
      <c r="C13" s="56"/>
      <c r="D13" s="56"/>
      <c r="E13" s="57">
        <v>5.68</v>
      </c>
      <c r="F13" s="57">
        <v>5.25</v>
      </c>
      <c r="G13" s="57">
        <v>4.76</v>
      </c>
      <c r="H13" s="57">
        <v>4.95</v>
      </c>
      <c r="I13" s="57">
        <v>4.84</v>
      </c>
      <c r="J13" s="58">
        <f t="shared" si="2"/>
        <v>4.76</v>
      </c>
      <c r="K13" s="58"/>
      <c r="L13" s="58">
        <f t="shared" si="3"/>
        <v>5.68</v>
      </c>
      <c r="M13" s="59">
        <f t="shared" si="4"/>
        <v>5.01</v>
      </c>
      <c r="N13" s="56"/>
    </row>
    <row r="14" ht="12.75" customHeight="1">
      <c r="A14" s="55">
        <f t="shared" si="1"/>
        <v>10</v>
      </c>
      <c r="B14" s="27" t="s">
        <v>71</v>
      </c>
      <c r="C14" s="56"/>
      <c r="D14" s="56"/>
      <c r="E14" s="57">
        <v>4.4</v>
      </c>
      <c r="F14" s="57">
        <v>5.77</v>
      </c>
      <c r="G14" s="57">
        <v>4.17</v>
      </c>
      <c r="H14" s="57">
        <v>5.4</v>
      </c>
      <c r="I14" s="57">
        <v>11.32</v>
      </c>
      <c r="J14" s="58">
        <f t="shared" si="2"/>
        <v>4.17</v>
      </c>
      <c r="K14" s="58"/>
      <c r="L14" s="58">
        <f t="shared" si="3"/>
        <v>11.32</v>
      </c>
      <c r="M14" s="59">
        <f t="shared" si="4"/>
        <v>5.19</v>
      </c>
      <c r="N14" s="56"/>
    </row>
    <row r="15" ht="12.75" customHeight="1">
      <c r="A15" s="55">
        <f t="shared" si="1"/>
        <v>11</v>
      </c>
      <c r="B15" s="27" t="s">
        <v>38</v>
      </c>
      <c r="C15" s="56"/>
      <c r="D15" s="56"/>
      <c r="E15" s="57">
        <v>4.91</v>
      </c>
      <c r="F15" s="57">
        <v>4.94</v>
      </c>
      <c r="G15" s="57">
        <v>3.19</v>
      </c>
      <c r="H15" s="57">
        <v>5.71</v>
      </c>
      <c r="I15" s="57">
        <v>7.1</v>
      </c>
      <c r="J15" s="58">
        <f t="shared" si="2"/>
        <v>3.19</v>
      </c>
      <c r="K15" s="58"/>
      <c r="L15" s="58">
        <f t="shared" si="3"/>
        <v>7.1</v>
      </c>
      <c r="M15" s="59">
        <f t="shared" si="4"/>
        <v>5.19</v>
      </c>
      <c r="N15" s="56"/>
    </row>
    <row r="16" ht="12.75" customHeight="1">
      <c r="A16" s="55">
        <f t="shared" si="1"/>
        <v>12</v>
      </c>
      <c r="B16" s="27" t="s">
        <v>42</v>
      </c>
      <c r="C16" s="56"/>
      <c r="D16" s="56"/>
      <c r="E16" s="57">
        <v>4.88</v>
      </c>
      <c r="F16" s="57">
        <v>5.76</v>
      </c>
      <c r="G16" s="57">
        <v>4.16</v>
      </c>
      <c r="H16" s="57">
        <v>11.36</v>
      </c>
      <c r="I16" s="57">
        <v>5.17</v>
      </c>
      <c r="J16" s="58">
        <f t="shared" si="2"/>
        <v>4.16</v>
      </c>
      <c r="K16" s="58"/>
      <c r="L16" s="58">
        <f t="shared" si="3"/>
        <v>11.36</v>
      </c>
      <c r="M16" s="59">
        <f t="shared" si="4"/>
        <v>5.27</v>
      </c>
      <c r="N16" s="56"/>
    </row>
    <row r="17" ht="12.75" customHeight="1">
      <c r="A17" s="60">
        <f t="shared" si="1"/>
        <v>13</v>
      </c>
      <c r="B17" s="27" t="s">
        <v>53</v>
      </c>
      <c r="C17" s="56"/>
      <c r="D17" s="56"/>
      <c r="E17" s="57">
        <v>19.64</v>
      </c>
      <c r="F17" s="57">
        <v>5.46</v>
      </c>
      <c r="G17" s="57">
        <v>6.01</v>
      </c>
      <c r="H17" s="57">
        <v>4.59</v>
      </c>
      <c r="I17" s="57">
        <v>3.7</v>
      </c>
      <c r="J17" s="58">
        <f t="shared" si="2"/>
        <v>3.7</v>
      </c>
      <c r="K17" s="58"/>
      <c r="L17" s="58">
        <f t="shared" si="3"/>
        <v>19.64</v>
      </c>
      <c r="M17" s="59">
        <f t="shared" si="4"/>
        <v>5.35</v>
      </c>
      <c r="N17" s="56"/>
    </row>
    <row r="18" ht="12.75" customHeight="1">
      <c r="A18" s="60">
        <f t="shared" si="1"/>
        <v>14</v>
      </c>
      <c r="B18" s="27" t="s">
        <v>72</v>
      </c>
      <c r="C18" s="56"/>
      <c r="D18" s="56"/>
      <c r="E18" s="57">
        <v>4.79</v>
      </c>
      <c r="F18" s="57">
        <v>5.5</v>
      </c>
      <c r="G18" s="57">
        <v>5.26</v>
      </c>
      <c r="H18" s="57">
        <v>5.51</v>
      </c>
      <c r="I18" s="57">
        <v>6.02</v>
      </c>
      <c r="J18" s="58">
        <f t="shared" si="2"/>
        <v>4.79</v>
      </c>
      <c r="K18" s="58"/>
      <c r="L18" s="58">
        <f t="shared" si="3"/>
        <v>6.02</v>
      </c>
      <c r="M18" s="59">
        <f t="shared" si="4"/>
        <v>5.42</v>
      </c>
      <c r="N18" s="56"/>
    </row>
    <row r="19" ht="12.75" customHeight="1">
      <c r="A19" s="60">
        <f t="shared" si="1"/>
        <v>15</v>
      </c>
      <c r="B19" s="27" t="s">
        <v>37</v>
      </c>
      <c r="C19" s="56"/>
      <c r="D19" s="56"/>
      <c r="E19" s="57">
        <v>6.03</v>
      </c>
      <c r="F19" s="57">
        <v>6.15</v>
      </c>
      <c r="G19" s="57">
        <v>3.76</v>
      </c>
      <c r="H19" s="57">
        <v>5.3</v>
      </c>
      <c r="I19" s="57">
        <v>5.08</v>
      </c>
      <c r="J19" s="58">
        <f t="shared" si="2"/>
        <v>3.76</v>
      </c>
      <c r="K19" s="58"/>
      <c r="L19" s="58">
        <f t="shared" si="3"/>
        <v>6.15</v>
      </c>
      <c r="M19" s="59">
        <f t="shared" si="4"/>
        <v>5.47</v>
      </c>
      <c r="N19" s="56"/>
    </row>
    <row r="20" ht="12.75" customHeight="1">
      <c r="A20" s="60">
        <f t="shared" si="1"/>
        <v>16</v>
      </c>
      <c r="B20" s="27" t="s">
        <v>51</v>
      </c>
      <c r="C20" s="56"/>
      <c r="D20" s="56"/>
      <c r="E20" s="57">
        <v>6.46</v>
      </c>
      <c r="F20" s="57">
        <v>5.97</v>
      </c>
      <c r="G20" s="57">
        <v>5.14</v>
      </c>
      <c r="H20" s="57">
        <v>6.25</v>
      </c>
      <c r="I20" s="57">
        <v>5.21</v>
      </c>
      <c r="J20" s="58">
        <f t="shared" si="2"/>
        <v>5.14</v>
      </c>
      <c r="K20" s="58"/>
      <c r="L20" s="58">
        <f t="shared" si="3"/>
        <v>6.46</v>
      </c>
      <c r="M20" s="59">
        <f t="shared" si="4"/>
        <v>5.81</v>
      </c>
      <c r="N20" s="56"/>
    </row>
    <row r="21" ht="12.75" customHeight="1">
      <c r="A21" s="60">
        <f t="shared" si="1"/>
        <v>17</v>
      </c>
      <c r="B21" s="27" t="s">
        <v>55</v>
      </c>
      <c r="C21" s="56"/>
      <c r="D21" s="56"/>
      <c r="E21" s="57">
        <v>7.38</v>
      </c>
      <c r="F21" s="57">
        <v>5.95</v>
      </c>
      <c r="G21" s="57">
        <v>6.06</v>
      </c>
      <c r="H21" s="57">
        <v>5.79</v>
      </c>
      <c r="I21" s="57">
        <v>5.85</v>
      </c>
      <c r="J21" s="58">
        <f t="shared" si="2"/>
        <v>5.79</v>
      </c>
      <c r="K21" s="58"/>
      <c r="L21" s="58">
        <f t="shared" si="3"/>
        <v>7.38</v>
      </c>
      <c r="M21" s="59">
        <f t="shared" si="4"/>
        <v>5.95</v>
      </c>
      <c r="N21" s="56"/>
    </row>
    <row r="22" ht="12.75" customHeight="1">
      <c r="A22" s="60">
        <f t="shared" si="1"/>
        <v>18</v>
      </c>
      <c r="B22" s="27" t="s">
        <v>52</v>
      </c>
      <c r="C22" s="56"/>
      <c r="D22" s="56"/>
      <c r="E22" s="57">
        <v>6.18</v>
      </c>
      <c r="F22" s="57" t="s">
        <v>49</v>
      </c>
      <c r="G22" s="57">
        <v>6.35</v>
      </c>
      <c r="H22" s="57">
        <v>6.19</v>
      </c>
      <c r="I22" s="57">
        <v>5.61</v>
      </c>
      <c r="J22" s="58">
        <f t="shared" si="2"/>
        <v>5.61</v>
      </c>
      <c r="K22" s="58"/>
      <c r="L22" s="58" t="str">
        <f t="shared" si="3"/>
        <v>DNF</v>
      </c>
      <c r="M22" s="59">
        <f t="shared" si="4"/>
        <v>6.24</v>
      </c>
      <c r="N22" s="56"/>
    </row>
    <row r="23" ht="12.75" customHeight="1">
      <c r="A23" s="60">
        <f t="shared" si="1"/>
        <v>19</v>
      </c>
      <c r="B23" s="27" t="s">
        <v>45</v>
      </c>
      <c r="C23" s="56"/>
      <c r="D23" s="56"/>
      <c r="E23" s="57">
        <v>6.02</v>
      </c>
      <c r="F23" s="57">
        <v>7.48</v>
      </c>
      <c r="G23" s="57">
        <v>8.63</v>
      </c>
      <c r="H23" s="57">
        <v>5.46</v>
      </c>
      <c r="I23" s="57">
        <v>4.47</v>
      </c>
      <c r="J23" s="58">
        <f t="shared" si="2"/>
        <v>4.47</v>
      </c>
      <c r="K23" s="58"/>
      <c r="L23" s="58">
        <f t="shared" si="3"/>
        <v>8.63</v>
      </c>
      <c r="M23" s="59">
        <f t="shared" si="4"/>
        <v>6.32</v>
      </c>
      <c r="N23" s="56"/>
    </row>
    <row r="24" ht="12.75" customHeight="1">
      <c r="A24" s="60">
        <f t="shared" si="1"/>
        <v>20</v>
      </c>
      <c r="B24" s="27" t="s">
        <v>59</v>
      </c>
      <c r="C24" s="56"/>
      <c r="D24" s="56"/>
      <c r="E24" s="57">
        <v>8.13</v>
      </c>
      <c r="F24" s="57">
        <v>6.14</v>
      </c>
      <c r="G24" s="57">
        <v>5.57</v>
      </c>
      <c r="H24" s="57">
        <v>5.89</v>
      </c>
      <c r="I24" s="57">
        <v>7.58</v>
      </c>
      <c r="J24" s="58">
        <f t="shared" si="2"/>
        <v>5.57</v>
      </c>
      <c r="K24" s="58"/>
      <c r="L24" s="58">
        <f t="shared" si="3"/>
        <v>8.13</v>
      </c>
      <c r="M24" s="59">
        <f t="shared" si="4"/>
        <v>6.54</v>
      </c>
      <c r="N24" s="56"/>
    </row>
    <row r="25" ht="12.75" customHeight="1">
      <c r="A25" s="60">
        <f t="shared" si="1"/>
        <v>21</v>
      </c>
      <c r="B25" s="27" t="s">
        <v>73</v>
      </c>
      <c r="C25" s="56"/>
      <c r="D25" s="56"/>
      <c r="E25" s="57">
        <v>6.37</v>
      </c>
      <c r="F25" s="57">
        <v>7.42</v>
      </c>
      <c r="G25" s="57">
        <v>5.1</v>
      </c>
      <c r="H25" s="57">
        <v>5.84</v>
      </c>
      <c r="I25" s="57">
        <v>7.52</v>
      </c>
      <c r="J25" s="58">
        <f t="shared" si="2"/>
        <v>5.1</v>
      </c>
      <c r="K25" s="58"/>
      <c r="L25" s="58">
        <f t="shared" si="3"/>
        <v>7.52</v>
      </c>
      <c r="M25" s="59">
        <f t="shared" si="4"/>
        <v>6.54</v>
      </c>
      <c r="N25" s="56"/>
    </row>
    <row r="26" ht="12.75" customHeight="1">
      <c r="A26" s="60">
        <f t="shared" si="1"/>
        <v>22</v>
      </c>
      <c r="B26" s="27" t="s">
        <v>74</v>
      </c>
      <c r="C26" s="56"/>
      <c r="D26" s="56"/>
      <c r="E26" s="57" t="s">
        <v>49</v>
      </c>
      <c r="F26" s="57">
        <v>5.64</v>
      </c>
      <c r="G26" s="57">
        <v>5.57</v>
      </c>
      <c r="H26" s="57">
        <v>7.01</v>
      </c>
      <c r="I26" s="57">
        <v>7.22</v>
      </c>
      <c r="J26" s="58">
        <f t="shared" si="2"/>
        <v>5.57</v>
      </c>
      <c r="K26" s="58"/>
      <c r="L26" s="58" t="str">
        <f t="shared" si="3"/>
        <v>DNF</v>
      </c>
      <c r="M26" s="59">
        <f t="shared" si="4"/>
        <v>6.62</v>
      </c>
      <c r="N26" s="56"/>
    </row>
    <row r="27" ht="12.75" customHeight="1">
      <c r="A27" s="60">
        <f t="shared" si="1"/>
        <v>23</v>
      </c>
      <c r="B27" s="27" t="s">
        <v>75</v>
      </c>
      <c r="C27" s="56"/>
      <c r="D27" s="56"/>
      <c r="E27" s="57">
        <v>6.04</v>
      </c>
      <c r="F27" s="57" t="s">
        <v>49</v>
      </c>
      <c r="G27" s="57">
        <v>7.49</v>
      </c>
      <c r="H27" s="57">
        <v>4.9</v>
      </c>
      <c r="I27" s="57">
        <v>6.36</v>
      </c>
      <c r="J27" s="58">
        <f t="shared" si="2"/>
        <v>4.9</v>
      </c>
      <c r="K27" s="58"/>
      <c r="L27" s="58" t="str">
        <f t="shared" si="3"/>
        <v>DNF</v>
      </c>
      <c r="M27" s="59">
        <f t="shared" si="4"/>
        <v>6.63</v>
      </c>
      <c r="N27" s="56"/>
    </row>
    <row r="28" ht="12.75" customHeight="1">
      <c r="A28" s="60">
        <f t="shared" si="1"/>
        <v>24</v>
      </c>
      <c r="B28" s="27" t="s">
        <v>47</v>
      </c>
      <c r="C28" s="56"/>
      <c r="D28" s="56"/>
      <c r="E28" s="57">
        <v>10.27</v>
      </c>
      <c r="F28" s="57">
        <v>6.2</v>
      </c>
      <c r="G28" s="57">
        <v>6.64</v>
      </c>
      <c r="H28" s="57">
        <v>7.26</v>
      </c>
      <c r="I28" s="57">
        <v>6.64</v>
      </c>
      <c r="J28" s="58">
        <f t="shared" si="2"/>
        <v>6.2</v>
      </c>
      <c r="K28" s="58"/>
      <c r="L28" s="58">
        <f t="shared" si="3"/>
        <v>10.27</v>
      </c>
      <c r="M28" s="59">
        <f t="shared" si="4"/>
        <v>6.85</v>
      </c>
      <c r="N28" s="56"/>
    </row>
    <row r="29" ht="12.75" customHeight="1">
      <c r="A29" s="60">
        <f t="shared" si="1"/>
        <v>25</v>
      </c>
      <c r="B29" s="27" t="s">
        <v>76</v>
      </c>
      <c r="C29" s="56"/>
      <c r="D29" s="56"/>
      <c r="E29" s="57">
        <v>5.72</v>
      </c>
      <c r="F29" s="57">
        <v>9.9</v>
      </c>
      <c r="G29" s="57">
        <v>4.4</v>
      </c>
      <c r="H29" s="57">
        <v>8.18</v>
      </c>
      <c r="I29" s="57">
        <v>6.71</v>
      </c>
      <c r="J29" s="58">
        <f t="shared" si="2"/>
        <v>4.4</v>
      </c>
      <c r="K29" s="58"/>
      <c r="L29" s="58">
        <f t="shared" si="3"/>
        <v>9.9</v>
      </c>
      <c r="M29" s="59">
        <f t="shared" si="4"/>
        <v>6.87</v>
      </c>
      <c r="N29" s="56"/>
    </row>
    <row r="30" ht="12.75" customHeight="1">
      <c r="A30" s="60">
        <f t="shared" si="1"/>
        <v>26</v>
      </c>
      <c r="B30" s="27" t="s">
        <v>77</v>
      </c>
      <c r="C30" s="56"/>
      <c r="D30" s="56"/>
      <c r="E30" s="57">
        <v>6.43</v>
      </c>
      <c r="F30" s="57">
        <v>6.85</v>
      </c>
      <c r="G30" s="57">
        <v>7.82</v>
      </c>
      <c r="H30" s="57">
        <v>6.89</v>
      </c>
      <c r="I30" s="57">
        <v>8.19</v>
      </c>
      <c r="J30" s="58">
        <f t="shared" si="2"/>
        <v>6.43</v>
      </c>
      <c r="K30" s="58"/>
      <c r="L30" s="58">
        <f t="shared" si="3"/>
        <v>8.19</v>
      </c>
      <c r="M30" s="59">
        <f t="shared" si="4"/>
        <v>7.19</v>
      </c>
      <c r="N30" s="56"/>
    </row>
    <row r="31" ht="12.75" customHeight="1">
      <c r="A31" s="60">
        <f t="shared" si="1"/>
        <v>27</v>
      </c>
      <c r="B31" s="27" t="s">
        <v>62</v>
      </c>
      <c r="C31" s="56"/>
      <c r="D31" s="56"/>
      <c r="E31" s="57">
        <v>8.0</v>
      </c>
      <c r="F31" s="57">
        <v>8.92</v>
      </c>
      <c r="G31" s="57">
        <v>8.54</v>
      </c>
      <c r="H31" s="57">
        <v>8.74</v>
      </c>
      <c r="I31" s="57">
        <v>7.26</v>
      </c>
      <c r="J31" s="58">
        <f t="shared" si="2"/>
        <v>7.26</v>
      </c>
      <c r="K31" s="58"/>
      <c r="L31" s="58">
        <f t="shared" si="3"/>
        <v>8.92</v>
      </c>
      <c r="M31" s="59">
        <f t="shared" si="4"/>
        <v>8.43</v>
      </c>
      <c r="N31" s="56"/>
    </row>
    <row r="32" ht="12.75" customHeight="1">
      <c r="A32" s="60">
        <f t="shared" si="1"/>
        <v>28</v>
      </c>
      <c r="B32" s="27" t="s">
        <v>78</v>
      </c>
      <c r="C32" s="56"/>
      <c r="D32" s="56"/>
      <c r="E32" s="57">
        <v>10.9</v>
      </c>
      <c r="F32" s="57">
        <v>7.6</v>
      </c>
      <c r="G32" s="57">
        <v>9.14</v>
      </c>
      <c r="H32" s="57">
        <v>10.09</v>
      </c>
      <c r="I32" s="57">
        <v>5.8</v>
      </c>
      <c r="J32" s="58">
        <f t="shared" si="2"/>
        <v>5.8</v>
      </c>
      <c r="K32" s="58"/>
      <c r="L32" s="58">
        <f t="shared" si="3"/>
        <v>10.9</v>
      </c>
      <c r="M32" s="59">
        <f t="shared" si="4"/>
        <v>8.94</v>
      </c>
      <c r="N32" s="56"/>
    </row>
    <row r="33" ht="12.75" customHeight="1">
      <c r="A33" s="60">
        <f t="shared" si="1"/>
        <v>29</v>
      </c>
      <c r="B33" s="27" t="s">
        <v>79</v>
      </c>
      <c r="C33" s="56"/>
      <c r="D33" s="56"/>
      <c r="E33" s="57">
        <v>8.0</v>
      </c>
      <c r="F33" s="57">
        <v>8.72</v>
      </c>
      <c r="G33" s="57">
        <v>9.49</v>
      </c>
      <c r="H33" s="57">
        <v>8.8</v>
      </c>
      <c r="I33" s="57">
        <v>12.87</v>
      </c>
      <c r="J33" s="58">
        <f t="shared" si="2"/>
        <v>8</v>
      </c>
      <c r="K33" s="58"/>
      <c r="L33" s="58">
        <f t="shared" si="3"/>
        <v>12.87</v>
      </c>
      <c r="M33" s="59">
        <f t="shared" si="4"/>
        <v>9</v>
      </c>
      <c r="N33" s="56"/>
    </row>
    <row r="34" ht="12.75" customHeight="1">
      <c r="A34" s="60">
        <f t="shared" si="1"/>
        <v>30</v>
      </c>
      <c r="B34" s="27" t="s">
        <v>80</v>
      </c>
      <c r="C34" s="56"/>
      <c r="D34" s="56"/>
      <c r="E34" s="57">
        <v>9.44</v>
      </c>
      <c r="F34" s="57">
        <v>8.63</v>
      </c>
      <c r="G34" s="57">
        <v>7.7</v>
      </c>
      <c r="H34" s="57">
        <v>12.84</v>
      </c>
      <c r="I34" s="57">
        <v>9.19</v>
      </c>
      <c r="J34" s="58">
        <f t="shared" si="2"/>
        <v>7.7</v>
      </c>
      <c r="K34" s="58"/>
      <c r="L34" s="58">
        <f t="shared" si="3"/>
        <v>12.84</v>
      </c>
      <c r="M34" s="59">
        <f t="shared" si="4"/>
        <v>9.09</v>
      </c>
    </row>
    <row r="35" ht="12.75" customHeight="1">
      <c r="A35" s="60">
        <f t="shared" si="1"/>
        <v>31</v>
      </c>
      <c r="B35" s="27" t="s">
        <v>81</v>
      </c>
      <c r="C35" s="56"/>
      <c r="D35" s="56"/>
      <c r="E35" s="57">
        <v>11.08</v>
      </c>
      <c r="F35" s="57">
        <v>11.96</v>
      </c>
      <c r="G35" s="57">
        <v>9.8</v>
      </c>
      <c r="H35" s="57">
        <v>7.08</v>
      </c>
      <c r="I35" s="57">
        <v>9.2</v>
      </c>
      <c r="J35" s="58">
        <f t="shared" si="2"/>
        <v>7.08</v>
      </c>
      <c r="K35" s="58"/>
      <c r="L35" s="58">
        <f t="shared" si="3"/>
        <v>11.96</v>
      </c>
      <c r="M35" s="59">
        <f t="shared" si="4"/>
        <v>10.03</v>
      </c>
    </row>
    <row r="36" ht="12.75" customHeight="1">
      <c r="A36" s="60">
        <f t="shared" si="1"/>
        <v>32</v>
      </c>
      <c r="B36" s="27" t="s">
        <v>82</v>
      </c>
      <c r="C36" s="56"/>
      <c r="D36" s="56"/>
      <c r="E36" s="57">
        <v>16.76</v>
      </c>
      <c r="F36" s="57">
        <v>9.97</v>
      </c>
      <c r="G36" s="57">
        <v>8.42</v>
      </c>
      <c r="H36" s="57">
        <v>12.41</v>
      </c>
      <c r="I36" s="57">
        <v>8.59</v>
      </c>
      <c r="J36" s="58">
        <f t="shared" si="2"/>
        <v>8.42</v>
      </c>
      <c r="K36" s="58"/>
      <c r="L36" s="58">
        <f t="shared" si="3"/>
        <v>16.76</v>
      </c>
      <c r="M36" s="59">
        <f t="shared" si="4"/>
        <v>10.32</v>
      </c>
    </row>
    <row r="37" ht="12.75" customHeight="1">
      <c r="A37" s="61">
        <v>11.0</v>
      </c>
      <c r="B37" s="27" t="s">
        <v>83</v>
      </c>
      <c r="C37" s="56"/>
      <c r="D37" s="56"/>
      <c r="E37" s="57">
        <v>8.71</v>
      </c>
      <c r="F37" s="57">
        <v>10.63</v>
      </c>
      <c r="G37" s="57">
        <v>11.59</v>
      </c>
      <c r="H37" s="57">
        <v>10.96</v>
      </c>
      <c r="I37" s="57">
        <v>13.52</v>
      </c>
      <c r="J37" s="58">
        <f t="shared" si="2"/>
        <v>8.71</v>
      </c>
      <c r="K37" s="58"/>
      <c r="L37" s="58">
        <f t="shared" si="3"/>
        <v>13.52</v>
      </c>
      <c r="M37" s="59">
        <f t="shared" si="4"/>
        <v>11.06</v>
      </c>
    </row>
    <row r="38" ht="12.75" customHeight="1">
      <c r="A38" s="60">
        <f t="shared" ref="A38:A154" si="5">IF(AND(M37=M38,J37=J38),A37,ROW()-4)</f>
        <v>34</v>
      </c>
      <c r="B38" s="27" t="s">
        <v>84</v>
      </c>
      <c r="C38" s="56"/>
      <c r="D38" s="56"/>
      <c r="E38" s="57">
        <v>11.29</v>
      </c>
      <c r="F38" s="57">
        <v>12.44</v>
      </c>
      <c r="G38" s="57">
        <v>6.25</v>
      </c>
      <c r="H38" s="57">
        <v>11.74</v>
      </c>
      <c r="I38" s="57">
        <v>10.2</v>
      </c>
      <c r="J38" s="58">
        <f t="shared" si="2"/>
        <v>6.25</v>
      </c>
      <c r="K38" s="58"/>
      <c r="L38" s="58">
        <f t="shared" si="3"/>
        <v>12.44</v>
      </c>
      <c r="M38" s="59">
        <f t="shared" si="4"/>
        <v>11.08</v>
      </c>
    </row>
    <row r="39" ht="12.75" customHeight="1">
      <c r="A39" s="60">
        <f t="shared" si="5"/>
        <v>35</v>
      </c>
      <c r="B39" s="27" t="s">
        <v>85</v>
      </c>
      <c r="C39" s="56"/>
      <c r="D39" s="56"/>
      <c r="E39" s="57">
        <v>11.84</v>
      </c>
      <c r="F39" s="57">
        <v>19.84</v>
      </c>
      <c r="G39" s="57">
        <v>10.54</v>
      </c>
      <c r="H39" s="57">
        <v>11.31</v>
      </c>
      <c r="I39" s="57">
        <v>8.51</v>
      </c>
      <c r="J39" s="58">
        <f t="shared" si="2"/>
        <v>8.51</v>
      </c>
      <c r="K39" s="58"/>
      <c r="L39" s="58">
        <f t="shared" si="3"/>
        <v>19.84</v>
      </c>
      <c r="M39" s="59">
        <f t="shared" si="4"/>
        <v>11.23</v>
      </c>
    </row>
    <row r="40" ht="12.75" customHeight="1">
      <c r="A40" s="60">
        <f t="shared" si="5"/>
        <v>36</v>
      </c>
      <c r="B40" s="27" t="s">
        <v>86</v>
      </c>
      <c r="C40" s="56"/>
      <c r="D40" s="56"/>
      <c r="E40" s="57">
        <v>8.68</v>
      </c>
      <c r="F40" s="57">
        <v>8.62</v>
      </c>
      <c r="G40" s="57" t="s">
        <v>49</v>
      </c>
      <c r="H40" s="57">
        <v>18.22</v>
      </c>
      <c r="I40" s="57">
        <v>6.01</v>
      </c>
      <c r="J40" s="58">
        <f t="shared" si="2"/>
        <v>6.01</v>
      </c>
      <c r="K40" s="58"/>
      <c r="L40" s="58" t="str">
        <f t="shared" si="3"/>
        <v>DNF</v>
      </c>
      <c r="M40" s="59">
        <f t="shared" si="4"/>
        <v>11.84</v>
      </c>
    </row>
    <row r="41" ht="12.75" customHeight="1">
      <c r="A41" s="60">
        <f t="shared" si="5"/>
        <v>37</v>
      </c>
      <c r="B41" s="27" t="s">
        <v>87</v>
      </c>
      <c r="C41" s="56"/>
      <c r="D41" s="56"/>
      <c r="E41" s="57">
        <v>7.1</v>
      </c>
      <c r="F41" s="57">
        <v>15.0</v>
      </c>
      <c r="G41" s="57">
        <v>9.47</v>
      </c>
      <c r="H41" s="57" t="s">
        <v>49</v>
      </c>
      <c r="I41" s="57">
        <v>13.3</v>
      </c>
      <c r="J41" s="58">
        <f t="shared" si="2"/>
        <v>7.1</v>
      </c>
      <c r="K41" s="58"/>
      <c r="L41" s="58" t="str">
        <f t="shared" si="3"/>
        <v>DNF</v>
      </c>
      <c r="M41" s="59">
        <f t="shared" si="4"/>
        <v>12.59</v>
      </c>
    </row>
    <row r="42" ht="12.75" customHeight="1">
      <c r="A42" s="60">
        <f t="shared" si="5"/>
        <v>38</v>
      </c>
      <c r="B42" s="27" t="s">
        <v>88</v>
      </c>
      <c r="C42" s="56"/>
      <c r="D42" s="56"/>
      <c r="E42" s="57">
        <v>14.91</v>
      </c>
      <c r="F42" s="57">
        <v>15.96</v>
      </c>
      <c r="G42" s="57">
        <v>11.65</v>
      </c>
      <c r="H42" s="57">
        <v>10.33</v>
      </c>
      <c r="I42" s="57">
        <v>18.38</v>
      </c>
      <c r="J42" s="62">
        <v>7.68</v>
      </c>
      <c r="K42" s="58"/>
      <c r="L42" s="58">
        <f t="shared" si="3"/>
        <v>18.38</v>
      </c>
      <c r="M42" s="59">
        <f t="shared" si="4"/>
        <v>15.06</v>
      </c>
    </row>
    <row r="43" ht="12.75" customHeight="1">
      <c r="A43" s="60">
        <f t="shared" si="5"/>
        <v>39</v>
      </c>
      <c r="B43" s="27" t="s">
        <v>89</v>
      </c>
      <c r="C43" s="56"/>
      <c r="D43" s="56"/>
      <c r="E43" s="57">
        <v>21.93</v>
      </c>
      <c r="F43" s="57">
        <v>16.03</v>
      </c>
      <c r="G43" s="57">
        <v>17.66</v>
      </c>
      <c r="H43" s="57">
        <v>14.55</v>
      </c>
      <c r="I43" s="57">
        <v>14.36</v>
      </c>
      <c r="J43" s="58">
        <f t="shared" ref="J43:J154" si="6">IF(MIN(E43:I43)&gt;0,MIN(E43:I43),IF(COUNTBLANK(E43:I43)=5,"","DNF"))</f>
        <v>14.36</v>
      </c>
      <c r="K43" s="58"/>
      <c r="L43" s="58">
        <f t="shared" si="3"/>
        <v>21.93</v>
      </c>
      <c r="M43" s="59">
        <f t="shared" si="4"/>
        <v>16.08</v>
      </c>
    </row>
    <row r="44" ht="12.75" customHeight="1">
      <c r="A44" s="60">
        <f t="shared" si="5"/>
        <v>40</v>
      </c>
      <c r="B44" s="27" t="s">
        <v>63</v>
      </c>
      <c r="C44" s="56"/>
      <c r="D44" s="56"/>
      <c r="E44" s="57">
        <v>22.89</v>
      </c>
      <c r="F44" s="57">
        <v>16.04</v>
      </c>
      <c r="G44" s="57">
        <v>7.4</v>
      </c>
      <c r="H44" s="57">
        <v>37.69</v>
      </c>
      <c r="I44" s="57">
        <v>10.48</v>
      </c>
      <c r="J44" s="58">
        <f t="shared" si="6"/>
        <v>7.4</v>
      </c>
      <c r="K44" s="58"/>
      <c r="L44" s="58">
        <f t="shared" si="3"/>
        <v>37.69</v>
      </c>
      <c r="M44" s="59">
        <f t="shared" si="4"/>
        <v>16.47</v>
      </c>
    </row>
    <row r="45" ht="12.75" customHeight="1">
      <c r="A45" s="60">
        <f t="shared" si="5"/>
        <v>41</v>
      </c>
      <c r="B45" s="27" t="s">
        <v>90</v>
      </c>
      <c r="C45" s="56"/>
      <c r="D45" s="56"/>
      <c r="E45" s="57">
        <v>20.43</v>
      </c>
      <c r="F45" s="57">
        <v>34.7</v>
      </c>
      <c r="G45" s="57">
        <v>21.08</v>
      </c>
      <c r="H45" s="57">
        <v>17.99</v>
      </c>
      <c r="I45" s="57">
        <v>17.69</v>
      </c>
      <c r="J45" s="58">
        <f t="shared" si="6"/>
        <v>17.69</v>
      </c>
      <c r="K45" s="58"/>
      <c r="L45" s="58">
        <f t="shared" si="3"/>
        <v>34.7</v>
      </c>
      <c r="M45" s="59">
        <f t="shared" si="4"/>
        <v>19.83</v>
      </c>
    </row>
    <row r="46" ht="12.75" customHeight="1">
      <c r="A46" s="60">
        <f t="shared" si="5"/>
        <v>42</v>
      </c>
      <c r="B46" s="27" t="s">
        <v>91</v>
      </c>
      <c r="C46" s="56"/>
      <c r="D46" s="56"/>
      <c r="E46" s="57">
        <v>18.0</v>
      </c>
      <c r="F46" s="57" t="s">
        <v>49</v>
      </c>
      <c r="G46" s="57">
        <v>7.19</v>
      </c>
      <c r="H46" s="57">
        <v>21.0</v>
      </c>
      <c r="I46" s="57">
        <v>32.21</v>
      </c>
      <c r="J46" s="58">
        <f t="shared" si="6"/>
        <v>7.19</v>
      </c>
      <c r="K46" s="58"/>
      <c r="L46" s="58" t="str">
        <f t="shared" si="3"/>
        <v>DNF</v>
      </c>
      <c r="M46" s="59">
        <f t="shared" si="4"/>
        <v>23.74</v>
      </c>
    </row>
    <row r="47" ht="12.75" customHeight="1">
      <c r="A47" s="60">
        <f t="shared" si="5"/>
        <v>43</v>
      </c>
      <c r="B47" s="27" t="s">
        <v>92</v>
      </c>
      <c r="C47" s="56"/>
      <c r="D47" s="56"/>
      <c r="E47" s="57">
        <v>35.12</v>
      </c>
      <c r="F47" s="57">
        <v>11.28</v>
      </c>
      <c r="G47" s="57">
        <v>34.62</v>
      </c>
      <c r="H47" s="57">
        <v>17.38</v>
      </c>
      <c r="I47" s="57">
        <v>19.7</v>
      </c>
      <c r="J47" s="58">
        <f t="shared" si="6"/>
        <v>11.28</v>
      </c>
      <c r="K47" s="58"/>
      <c r="L47" s="58">
        <f t="shared" si="3"/>
        <v>35.12</v>
      </c>
      <c r="M47" s="59">
        <f t="shared" si="4"/>
        <v>23.9</v>
      </c>
    </row>
    <row r="48" ht="12.75" customHeight="1">
      <c r="A48" s="60">
        <f t="shared" si="5"/>
        <v>44</v>
      </c>
      <c r="B48" s="27" t="s">
        <v>93</v>
      </c>
      <c r="C48" s="56"/>
      <c r="D48" s="56"/>
      <c r="E48" s="57">
        <v>45.54</v>
      </c>
      <c r="F48" s="57">
        <v>14.98</v>
      </c>
      <c r="G48" s="57">
        <v>40.44</v>
      </c>
      <c r="H48" s="57">
        <v>38.87</v>
      </c>
      <c r="I48" s="57">
        <v>17.16</v>
      </c>
      <c r="J48" s="58">
        <f t="shared" si="6"/>
        <v>14.98</v>
      </c>
      <c r="K48" s="58"/>
      <c r="L48" s="58">
        <f t="shared" si="3"/>
        <v>45.54</v>
      </c>
      <c r="M48" s="59">
        <f t="shared" si="4"/>
        <v>32.16</v>
      </c>
    </row>
    <row r="49" ht="12.75" customHeight="1">
      <c r="A49" s="60">
        <f t="shared" si="5"/>
        <v>45</v>
      </c>
      <c r="B49" s="27"/>
      <c r="C49" s="56"/>
      <c r="D49" s="56"/>
      <c r="E49" s="57"/>
      <c r="F49" s="57"/>
      <c r="G49" s="57"/>
      <c r="H49" s="57"/>
      <c r="I49" s="57"/>
      <c r="J49" s="58" t="str">
        <f t="shared" si="6"/>
        <v/>
      </c>
      <c r="K49" s="58"/>
      <c r="L49" s="58" t="str">
        <f t="shared" si="3"/>
        <v/>
      </c>
      <c r="M49" s="59" t="str">
        <f t="shared" si="4"/>
        <v/>
      </c>
    </row>
    <row r="50" ht="12.75" customHeight="1">
      <c r="A50" s="60">
        <f t="shared" si="5"/>
        <v>45</v>
      </c>
      <c r="B50" s="27"/>
      <c r="C50" s="56"/>
      <c r="D50" s="56"/>
      <c r="E50" s="57"/>
      <c r="F50" s="57"/>
      <c r="G50" s="57"/>
      <c r="H50" s="57"/>
      <c r="I50" s="57"/>
      <c r="J50" s="58" t="str">
        <f t="shared" si="6"/>
        <v/>
      </c>
      <c r="K50" s="58"/>
      <c r="L50" s="58" t="str">
        <f t="shared" si="3"/>
        <v/>
      </c>
      <c r="M50" s="59" t="str">
        <f t="shared" si="4"/>
        <v/>
      </c>
    </row>
    <row r="51" ht="12.75" customHeight="1">
      <c r="A51" s="60">
        <f t="shared" si="5"/>
        <v>45</v>
      </c>
      <c r="B51" s="27"/>
      <c r="C51" s="56"/>
      <c r="D51" s="56"/>
      <c r="E51" s="57"/>
      <c r="F51" s="57"/>
      <c r="G51" s="57"/>
      <c r="H51" s="57"/>
      <c r="I51" s="57"/>
      <c r="J51" s="58" t="str">
        <f t="shared" si="6"/>
        <v/>
      </c>
      <c r="K51" s="58"/>
      <c r="L51" s="58" t="str">
        <f t="shared" si="3"/>
        <v/>
      </c>
      <c r="M51" s="59" t="str">
        <f t="shared" si="4"/>
        <v/>
      </c>
    </row>
    <row r="52" ht="12.75" customHeight="1">
      <c r="A52" s="60">
        <f t="shared" si="5"/>
        <v>45</v>
      </c>
      <c r="B52" s="27"/>
      <c r="C52" s="56"/>
      <c r="D52" s="56"/>
      <c r="E52" s="57"/>
      <c r="F52" s="57"/>
      <c r="G52" s="57"/>
      <c r="H52" s="57"/>
      <c r="I52" s="57"/>
      <c r="J52" s="58" t="str">
        <f t="shared" si="6"/>
        <v/>
      </c>
      <c r="K52" s="58"/>
      <c r="L52" s="58" t="str">
        <f t="shared" si="3"/>
        <v/>
      </c>
      <c r="M52" s="59" t="str">
        <f t="shared" si="4"/>
        <v/>
      </c>
    </row>
    <row r="53" ht="12.75" customHeight="1">
      <c r="A53" s="60">
        <f t="shared" si="5"/>
        <v>45</v>
      </c>
      <c r="B53" s="27"/>
      <c r="C53" s="56"/>
      <c r="D53" s="56"/>
      <c r="E53" s="57"/>
      <c r="F53" s="57"/>
      <c r="G53" s="57"/>
      <c r="H53" s="57"/>
      <c r="I53" s="57"/>
      <c r="J53" s="58" t="str">
        <f t="shared" si="6"/>
        <v/>
      </c>
      <c r="K53" s="58"/>
      <c r="L53" s="58" t="str">
        <f t="shared" si="3"/>
        <v/>
      </c>
      <c r="M53" s="59" t="str">
        <f t="shared" si="4"/>
        <v/>
      </c>
    </row>
    <row r="54" ht="12.75" customHeight="1">
      <c r="A54" s="60">
        <f t="shared" si="5"/>
        <v>45</v>
      </c>
      <c r="B54" s="27"/>
      <c r="C54" s="56"/>
      <c r="D54" s="56"/>
      <c r="E54" s="57"/>
      <c r="F54" s="57"/>
      <c r="G54" s="57"/>
      <c r="H54" s="57"/>
      <c r="I54" s="57"/>
      <c r="J54" s="58" t="str">
        <f t="shared" si="6"/>
        <v/>
      </c>
      <c r="K54" s="58"/>
      <c r="L54" s="58" t="str">
        <f t="shared" si="3"/>
        <v/>
      </c>
      <c r="M54" s="59" t="str">
        <f t="shared" si="4"/>
        <v/>
      </c>
    </row>
    <row r="55" ht="12.75" customHeight="1">
      <c r="A55" s="60">
        <f t="shared" si="5"/>
        <v>45</v>
      </c>
      <c r="B55" s="27"/>
      <c r="C55" s="56"/>
      <c r="D55" s="56"/>
      <c r="E55" s="57"/>
      <c r="F55" s="57"/>
      <c r="G55" s="57"/>
      <c r="H55" s="57"/>
      <c r="I55" s="57"/>
      <c r="J55" s="58" t="str">
        <f t="shared" si="6"/>
        <v/>
      </c>
      <c r="K55" s="58"/>
      <c r="L55" s="58" t="str">
        <f t="shared" si="3"/>
        <v/>
      </c>
      <c r="M55" s="59" t="str">
        <f t="shared" si="4"/>
        <v/>
      </c>
    </row>
    <row r="56" ht="12.75" customHeight="1">
      <c r="A56" s="60">
        <f t="shared" si="5"/>
        <v>45</v>
      </c>
      <c r="B56" s="27"/>
      <c r="C56" s="56"/>
      <c r="D56" s="56"/>
      <c r="E56" s="57"/>
      <c r="F56" s="57"/>
      <c r="G56" s="57"/>
      <c r="H56" s="57"/>
      <c r="I56" s="57"/>
      <c r="J56" s="58" t="str">
        <f t="shared" si="6"/>
        <v/>
      </c>
      <c r="K56" s="58"/>
      <c r="L56" s="58" t="str">
        <f t="shared" si="3"/>
        <v/>
      </c>
      <c r="M56" s="59" t="str">
        <f t="shared" si="4"/>
        <v/>
      </c>
    </row>
    <row r="57" ht="12.75" customHeight="1">
      <c r="A57" s="60">
        <f t="shared" si="5"/>
        <v>45</v>
      </c>
      <c r="B57" s="27"/>
      <c r="C57" s="56"/>
      <c r="D57" s="56"/>
      <c r="E57" s="57"/>
      <c r="F57" s="57"/>
      <c r="G57" s="57"/>
      <c r="H57" s="57"/>
      <c r="I57" s="57"/>
      <c r="J57" s="58" t="str">
        <f t="shared" si="6"/>
        <v/>
      </c>
      <c r="K57" s="58"/>
      <c r="L57" s="58" t="str">
        <f t="shared" si="3"/>
        <v/>
      </c>
      <c r="M57" s="59" t="str">
        <f t="shared" si="4"/>
        <v/>
      </c>
    </row>
    <row r="58" ht="12.75" customHeight="1">
      <c r="A58" s="60">
        <f t="shared" si="5"/>
        <v>45</v>
      </c>
      <c r="B58" s="27"/>
      <c r="C58" s="56"/>
      <c r="D58" s="56"/>
      <c r="E58" s="57"/>
      <c r="F58" s="57"/>
      <c r="G58" s="57"/>
      <c r="H58" s="57"/>
      <c r="I58" s="57"/>
      <c r="J58" s="58" t="str">
        <f t="shared" si="6"/>
        <v/>
      </c>
      <c r="K58" s="58"/>
      <c r="L58" s="58" t="str">
        <f t="shared" si="3"/>
        <v/>
      </c>
      <c r="M58" s="59" t="str">
        <f t="shared" si="4"/>
        <v/>
      </c>
    </row>
    <row r="59" ht="12.75" customHeight="1">
      <c r="A59" s="60">
        <f t="shared" si="5"/>
        <v>45</v>
      </c>
      <c r="B59" s="27"/>
      <c r="C59" s="56"/>
      <c r="D59" s="56"/>
      <c r="E59" s="57"/>
      <c r="F59" s="57"/>
      <c r="G59" s="57"/>
      <c r="H59" s="57"/>
      <c r="I59" s="57"/>
      <c r="J59" s="58" t="str">
        <f t="shared" si="6"/>
        <v/>
      </c>
      <c r="K59" s="58"/>
      <c r="L59" s="58" t="str">
        <f t="shared" si="3"/>
        <v/>
      </c>
      <c r="M59" s="59" t="str">
        <f t="shared" si="4"/>
        <v/>
      </c>
    </row>
    <row r="60" ht="12.75" customHeight="1">
      <c r="A60" s="60">
        <f t="shared" si="5"/>
        <v>45</v>
      </c>
      <c r="B60" s="27"/>
      <c r="C60" s="56"/>
      <c r="D60" s="56"/>
      <c r="E60" s="57"/>
      <c r="F60" s="57"/>
      <c r="G60" s="57"/>
      <c r="H60" s="57"/>
      <c r="I60" s="57"/>
      <c r="J60" s="58" t="str">
        <f t="shared" si="6"/>
        <v/>
      </c>
      <c r="K60" s="58"/>
      <c r="L60" s="58" t="str">
        <f t="shared" si="3"/>
        <v/>
      </c>
      <c r="M60" s="59" t="str">
        <f t="shared" si="4"/>
        <v/>
      </c>
    </row>
    <row r="61" ht="12.75" customHeight="1">
      <c r="A61" s="60">
        <f t="shared" si="5"/>
        <v>45</v>
      </c>
      <c r="B61" s="27"/>
      <c r="C61" s="56"/>
      <c r="D61" s="56"/>
      <c r="E61" s="57"/>
      <c r="F61" s="57"/>
      <c r="G61" s="57"/>
      <c r="H61" s="57"/>
      <c r="I61" s="57"/>
      <c r="J61" s="58" t="str">
        <f t="shared" si="6"/>
        <v/>
      </c>
      <c r="K61" s="58"/>
      <c r="L61" s="58" t="str">
        <f t="shared" si="3"/>
        <v/>
      </c>
      <c r="M61" s="59" t="str">
        <f t="shared" si="4"/>
        <v/>
      </c>
    </row>
    <row r="62" ht="12.75" customHeight="1">
      <c r="A62" s="60">
        <f t="shared" si="5"/>
        <v>45</v>
      </c>
      <c r="B62" s="27"/>
      <c r="C62" s="56"/>
      <c r="D62" s="56"/>
      <c r="E62" s="57"/>
      <c r="F62" s="57"/>
      <c r="G62" s="57"/>
      <c r="H62" s="57"/>
      <c r="I62" s="57"/>
      <c r="J62" s="58" t="str">
        <f t="shared" si="6"/>
        <v/>
      </c>
      <c r="K62" s="58"/>
      <c r="L62" s="58" t="str">
        <f t="shared" si="3"/>
        <v/>
      </c>
      <c r="M62" s="59" t="str">
        <f t="shared" si="4"/>
        <v/>
      </c>
    </row>
    <row r="63" ht="12.75" customHeight="1">
      <c r="A63" s="60">
        <f t="shared" si="5"/>
        <v>45</v>
      </c>
      <c r="B63" s="27"/>
      <c r="C63" s="56"/>
      <c r="D63" s="56"/>
      <c r="E63" s="57"/>
      <c r="F63" s="57"/>
      <c r="G63" s="57"/>
      <c r="H63" s="57"/>
      <c r="I63" s="57"/>
      <c r="J63" s="58" t="str">
        <f t="shared" si="6"/>
        <v/>
      </c>
      <c r="K63" s="58"/>
      <c r="L63" s="58" t="str">
        <f t="shared" si="3"/>
        <v/>
      </c>
      <c r="M63" s="59" t="str">
        <f t="shared" si="4"/>
        <v/>
      </c>
    </row>
    <row r="64" ht="12.75" customHeight="1">
      <c r="A64" s="60">
        <f t="shared" si="5"/>
        <v>45</v>
      </c>
      <c r="B64" s="27"/>
      <c r="C64" s="56"/>
      <c r="D64" s="56"/>
      <c r="E64" s="57"/>
      <c r="F64" s="57"/>
      <c r="G64" s="57"/>
      <c r="H64" s="57"/>
      <c r="I64" s="57"/>
      <c r="J64" s="58" t="str">
        <f t="shared" si="6"/>
        <v/>
      </c>
      <c r="K64" s="58"/>
      <c r="L64" s="58" t="str">
        <f t="shared" si="3"/>
        <v/>
      </c>
      <c r="M64" s="59" t="str">
        <f t="shared" si="4"/>
        <v/>
      </c>
    </row>
    <row r="65" ht="12.75" customHeight="1">
      <c r="A65" s="60">
        <f t="shared" si="5"/>
        <v>45</v>
      </c>
      <c r="B65" s="27"/>
      <c r="C65" s="56"/>
      <c r="D65" s="56"/>
      <c r="E65" s="57"/>
      <c r="F65" s="57"/>
      <c r="G65" s="57"/>
      <c r="H65" s="57"/>
      <c r="I65" s="57"/>
      <c r="J65" s="58" t="str">
        <f t="shared" si="6"/>
        <v/>
      </c>
      <c r="K65" s="58"/>
      <c r="L65" s="58" t="str">
        <f t="shared" si="3"/>
        <v/>
      </c>
      <c r="M65" s="59" t="str">
        <f t="shared" si="4"/>
        <v/>
      </c>
    </row>
    <row r="66" ht="12.75" customHeight="1">
      <c r="A66" s="60">
        <f t="shared" si="5"/>
        <v>45</v>
      </c>
      <c r="B66" s="27"/>
      <c r="C66" s="56"/>
      <c r="D66" s="56"/>
      <c r="E66" s="57"/>
      <c r="F66" s="57"/>
      <c r="G66" s="57"/>
      <c r="H66" s="57"/>
      <c r="I66" s="57"/>
      <c r="J66" s="58" t="str">
        <f t="shared" si="6"/>
        <v/>
      </c>
      <c r="K66" s="58"/>
      <c r="L66" s="58" t="str">
        <f t="shared" si="3"/>
        <v/>
      </c>
      <c r="M66" s="59" t="str">
        <f t="shared" si="4"/>
        <v/>
      </c>
    </row>
    <row r="67" ht="12.75" customHeight="1">
      <c r="A67" s="60">
        <f t="shared" si="5"/>
        <v>45</v>
      </c>
      <c r="B67" s="27"/>
      <c r="C67" s="56"/>
      <c r="D67" s="56"/>
      <c r="E67" s="57"/>
      <c r="F67" s="57"/>
      <c r="G67" s="57"/>
      <c r="H67" s="57"/>
      <c r="I67" s="57"/>
      <c r="J67" s="58" t="str">
        <f t="shared" si="6"/>
        <v/>
      </c>
      <c r="K67" s="58"/>
      <c r="L67" s="58" t="str">
        <f t="shared" si="3"/>
        <v/>
      </c>
      <c r="M67" s="59" t="str">
        <f t="shared" si="4"/>
        <v/>
      </c>
    </row>
    <row r="68" ht="12.75" customHeight="1">
      <c r="A68" s="60">
        <f t="shared" si="5"/>
        <v>45</v>
      </c>
      <c r="B68" s="27"/>
      <c r="C68" s="56"/>
      <c r="D68" s="56"/>
      <c r="E68" s="57"/>
      <c r="F68" s="57"/>
      <c r="G68" s="57"/>
      <c r="H68" s="57"/>
      <c r="I68" s="57"/>
      <c r="J68" s="58" t="str">
        <f t="shared" si="6"/>
        <v/>
      </c>
      <c r="K68" s="58"/>
      <c r="L68" s="58" t="str">
        <f t="shared" si="3"/>
        <v/>
      </c>
      <c r="M68" s="59" t="str">
        <f t="shared" si="4"/>
        <v/>
      </c>
    </row>
    <row r="69" ht="12.75" customHeight="1">
      <c r="A69" s="60">
        <f t="shared" si="5"/>
        <v>45</v>
      </c>
      <c r="B69" s="27"/>
      <c r="C69" s="56"/>
      <c r="D69" s="56"/>
      <c r="E69" s="57"/>
      <c r="F69" s="57"/>
      <c r="G69" s="57"/>
      <c r="H69" s="57"/>
      <c r="I69" s="57"/>
      <c r="J69" s="58" t="str">
        <f t="shared" si="6"/>
        <v/>
      </c>
      <c r="K69" s="58"/>
      <c r="L69" s="58" t="str">
        <f t="shared" si="3"/>
        <v/>
      </c>
      <c r="M69" s="59" t="str">
        <f t="shared" si="4"/>
        <v/>
      </c>
    </row>
    <row r="70" ht="12.75" customHeight="1">
      <c r="A70" s="60">
        <f t="shared" si="5"/>
        <v>45</v>
      </c>
      <c r="B70" s="27"/>
      <c r="C70" s="56"/>
      <c r="D70" s="56"/>
      <c r="E70" s="57"/>
      <c r="F70" s="57"/>
      <c r="G70" s="57"/>
      <c r="H70" s="57"/>
      <c r="I70" s="57"/>
      <c r="J70" s="58" t="str">
        <f t="shared" si="6"/>
        <v/>
      </c>
      <c r="K70" s="58"/>
      <c r="L70" s="58" t="str">
        <f t="shared" si="3"/>
        <v/>
      </c>
      <c r="M70" s="59" t="str">
        <f t="shared" si="4"/>
        <v/>
      </c>
    </row>
    <row r="71" ht="12.75" customHeight="1">
      <c r="A71" s="60">
        <f t="shared" si="5"/>
        <v>45</v>
      </c>
      <c r="B71" s="27"/>
      <c r="C71" s="56"/>
      <c r="D71" s="56"/>
      <c r="E71" s="57"/>
      <c r="F71" s="57"/>
      <c r="G71" s="57"/>
      <c r="H71" s="57"/>
      <c r="I71" s="57"/>
      <c r="J71" s="58" t="str">
        <f t="shared" si="6"/>
        <v/>
      </c>
      <c r="K71" s="58"/>
      <c r="L71" s="58" t="str">
        <f t="shared" si="3"/>
        <v/>
      </c>
      <c r="M71" s="59" t="str">
        <f t="shared" si="4"/>
        <v/>
      </c>
    </row>
    <row r="72" ht="12.75" customHeight="1">
      <c r="A72" s="60">
        <f t="shared" si="5"/>
        <v>45</v>
      </c>
      <c r="B72" s="36"/>
      <c r="C72" s="56"/>
      <c r="D72" s="56"/>
      <c r="E72" s="63"/>
      <c r="F72" s="63"/>
      <c r="G72" s="63"/>
      <c r="H72" s="63"/>
      <c r="I72" s="63"/>
      <c r="J72" s="58" t="str">
        <f t="shared" si="6"/>
        <v/>
      </c>
      <c r="K72" s="58"/>
      <c r="L72" s="58" t="str">
        <f t="shared" si="3"/>
        <v/>
      </c>
      <c r="M72" s="59" t="str">
        <f t="shared" si="4"/>
        <v/>
      </c>
    </row>
    <row r="73" ht="12.75" customHeight="1">
      <c r="A73" s="60">
        <f t="shared" si="5"/>
        <v>45</v>
      </c>
      <c r="B73" s="27"/>
      <c r="C73" s="56"/>
      <c r="D73" s="56"/>
      <c r="E73" s="57"/>
      <c r="F73" s="57"/>
      <c r="G73" s="57"/>
      <c r="H73" s="57"/>
      <c r="I73" s="57"/>
      <c r="J73" s="58" t="str">
        <f t="shared" si="6"/>
        <v/>
      </c>
      <c r="K73" s="58"/>
      <c r="L73" s="58" t="str">
        <f t="shared" si="3"/>
        <v/>
      </c>
      <c r="M73" s="59" t="str">
        <f t="shared" si="4"/>
        <v/>
      </c>
    </row>
    <row r="74" ht="12.75" customHeight="1">
      <c r="A74" s="60">
        <f t="shared" si="5"/>
        <v>45</v>
      </c>
      <c r="B74" s="27"/>
      <c r="C74" s="56"/>
      <c r="D74" s="56"/>
      <c r="E74" s="57"/>
      <c r="F74" s="57"/>
      <c r="G74" s="57"/>
      <c r="H74" s="57"/>
      <c r="I74" s="57"/>
      <c r="J74" s="58" t="str">
        <f t="shared" si="6"/>
        <v/>
      </c>
      <c r="K74" s="58"/>
      <c r="L74" s="58" t="str">
        <f t="shared" si="3"/>
        <v/>
      </c>
      <c r="M74" s="59" t="str">
        <f t="shared" si="4"/>
        <v/>
      </c>
    </row>
    <row r="75" ht="12.75" customHeight="1">
      <c r="A75" s="60">
        <f t="shared" si="5"/>
        <v>45</v>
      </c>
      <c r="B75" s="27"/>
      <c r="C75" s="56"/>
      <c r="D75" s="56"/>
      <c r="E75" s="57"/>
      <c r="F75" s="57"/>
      <c r="G75" s="57"/>
      <c r="H75" s="57"/>
      <c r="I75" s="57"/>
      <c r="J75" s="58" t="str">
        <f t="shared" si="6"/>
        <v/>
      </c>
      <c r="K75" s="58"/>
      <c r="L75" s="58" t="str">
        <f t="shared" si="3"/>
        <v/>
      </c>
      <c r="M75" s="59" t="str">
        <f t="shared" si="4"/>
        <v/>
      </c>
    </row>
    <row r="76" ht="12.75" customHeight="1">
      <c r="A76" s="60">
        <f t="shared" si="5"/>
        <v>45</v>
      </c>
      <c r="B76" s="27"/>
      <c r="C76" s="56"/>
      <c r="D76" s="56"/>
      <c r="E76" s="57"/>
      <c r="F76" s="57"/>
      <c r="G76" s="57"/>
      <c r="H76" s="57"/>
      <c r="I76" s="57"/>
      <c r="J76" s="58" t="str">
        <f t="shared" si="6"/>
        <v/>
      </c>
      <c r="K76" s="58"/>
      <c r="L76" s="58" t="str">
        <f t="shared" si="3"/>
        <v/>
      </c>
      <c r="M76" s="59" t="str">
        <f t="shared" si="4"/>
        <v/>
      </c>
    </row>
    <row r="77" ht="12.75" customHeight="1">
      <c r="A77" s="60">
        <f t="shared" si="5"/>
        <v>45</v>
      </c>
      <c r="B77" s="27"/>
      <c r="C77" s="56"/>
      <c r="D77" s="56"/>
      <c r="E77" s="57"/>
      <c r="F77" s="57"/>
      <c r="G77" s="57"/>
      <c r="H77" s="57"/>
      <c r="I77" s="57"/>
      <c r="J77" s="58" t="str">
        <f t="shared" si="6"/>
        <v/>
      </c>
      <c r="K77" s="58"/>
      <c r="L77" s="58" t="str">
        <f t="shared" si="3"/>
        <v/>
      </c>
      <c r="M77" s="59" t="str">
        <f t="shared" si="4"/>
        <v/>
      </c>
    </row>
    <row r="78" ht="12.75" customHeight="1">
      <c r="A78" s="60">
        <f t="shared" si="5"/>
        <v>45</v>
      </c>
      <c r="B78" s="27"/>
      <c r="C78" s="56"/>
      <c r="D78" s="56"/>
      <c r="E78" s="57"/>
      <c r="F78" s="57"/>
      <c r="G78" s="57"/>
      <c r="H78" s="57"/>
      <c r="I78" s="57"/>
      <c r="J78" s="58" t="str">
        <f t="shared" si="6"/>
        <v/>
      </c>
      <c r="K78" s="58"/>
      <c r="L78" s="58" t="str">
        <f t="shared" si="3"/>
        <v/>
      </c>
      <c r="M78" s="59" t="str">
        <f t="shared" si="4"/>
        <v/>
      </c>
    </row>
    <row r="79" ht="12.75" customHeight="1">
      <c r="A79" s="60">
        <f t="shared" si="5"/>
        <v>45</v>
      </c>
      <c r="B79" s="27"/>
      <c r="C79" s="56"/>
      <c r="D79" s="56"/>
      <c r="E79" s="57"/>
      <c r="F79" s="57"/>
      <c r="G79" s="57"/>
      <c r="H79" s="57"/>
      <c r="I79" s="57"/>
      <c r="J79" s="58" t="str">
        <f t="shared" si="6"/>
        <v/>
      </c>
      <c r="K79" s="58"/>
      <c r="L79" s="58" t="str">
        <f t="shared" si="3"/>
        <v/>
      </c>
      <c r="M79" s="59" t="str">
        <f t="shared" si="4"/>
        <v/>
      </c>
    </row>
    <row r="80" ht="12.75" customHeight="1">
      <c r="A80" s="60">
        <f t="shared" si="5"/>
        <v>45</v>
      </c>
      <c r="B80" s="27"/>
      <c r="C80" s="56"/>
      <c r="D80" s="56"/>
      <c r="E80" s="57"/>
      <c r="F80" s="57"/>
      <c r="G80" s="57"/>
      <c r="H80" s="57"/>
      <c r="I80" s="57"/>
      <c r="J80" s="58" t="str">
        <f t="shared" si="6"/>
        <v/>
      </c>
      <c r="K80" s="58"/>
      <c r="L80" s="58" t="str">
        <f t="shared" si="3"/>
        <v/>
      </c>
      <c r="M80" s="59" t="str">
        <f t="shared" si="4"/>
        <v/>
      </c>
    </row>
    <row r="81" ht="12.75" customHeight="1">
      <c r="A81" s="60">
        <f t="shared" si="5"/>
        <v>45</v>
      </c>
      <c r="B81" s="27"/>
      <c r="C81" s="56"/>
      <c r="D81" s="56"/>
      <c r="E81" s="57"/>
      <c r="F81" s="57"/>
      <c r="G81" s="57"/>
      <c r="H81" s="57"/>
      <c r="I81" s="57"/>
      <c r="J81" s="58" t="str">
        <f t="shared" si="6"/>
        <v/>
      </c>
      <c r="K81" s="58"/>
      <c r="L81" s="58" t="str">
        <f t="shared" si="3"/>
        <v/>
      </c>
      <c r="M81" s="59" t="str">
        <f t="shared" si="4"/>
        <v/>
      </c>
    </row>
    <row r="82" ht="12.75" customHeight="1">
      <c r="A82" s="60">
        <f t="shared" si="5"/>
        <v>45</v>
      </c>
      <c r="B82" s="27"/>
      <c r="C82" s="56"/>
      <c r="D82" s="56"/>
      <c r="E82" s="57"/>
      <c r="F82" s="57"/>
      <c r="G82" s="57"/>
      <c r="H82" s="57"/>
      <c r="I82" s="57"/>
      <c r="J82" s="58" t="str">
        <f t="shared" si="6"/>
        <v/>
      </c>
      <c r="K82" s="58"/>
      <c r="L82" s="58" t="str">
        <f t="shared" si="3"/>
        <v/>
      </c>
      <c r="M82" s="59" t="str">
        <f t="shared" si="4"/>
        <v/>
      </c>
    </row>
    <row r="83" ht="12.75" customHeight="1">
      <c r="A83" s="60">
        <f t="shared" si="5"/>
        <v>45</v>
      </c>
      <c r="B83" s="27"/>
      <c r="C83" s="56"/>
      <c r="D83" s="56"/>
      <c r="E83" s="57"/>
      <c r="F83" s="57"/>
      <c r="G83" s="57"/>
      <c r="H83" s="57"/>
      <c r="I83" s="57"/>
      <c r="J83" s="58" t="str">
        <f t="shared" si="6"/>
        <v/>
      </c>
      <c r="K83" s="58"/>
      <c r="L83" s="58" t="str">
        <f t="shared" si="3"/>
        <v/>
      </c>
      <c r="M83" s="59" t="str">
        <f t="shared" si="4"/>
        <v/>
      </c>
    </row>
    <row r="84" ht="12.75" customHeight="1">
      <c r="A84" s="60">
        <f t="shared" si="5"/>
        <v>45</v>
      </c>
      <c r="B84" s="27"/>
      <c r="C84" s="56"/>
      <c r="D84" s="56"/>
      <c r="E84" s="57"/>
      <c r="F84" s="57"/>
      <c r="G84" s="57"/>
      <c r="H84" s="57"/>
      <c r="I84" s="57"/>
      <c r="J84" s="58" t="str">
        <f t="shared" si="6"/>
        <v/>
      </c>
      <c r="K84" s="58"/>
      <c r="L84" s="58" t="str">
        <f t="shared" si="3"/>
        <v/>
      </c>
      <c r="M84" s="59" t="str">
        <f t="shared" si="4"/>
        <v/>
      </c>
    </row>
    <row r="85" ht="12.75" customHeight="1">
      <c r="A85" s="60">
        <f t="shared" si="5"/>
        <v>45</v>
      </c>
      <c r="B85" s="27"/>
      <c r="C85" s="56"/>
      <c r="D85" s="56"/>
      <c r="E85" s="57"/>
      <c r="F85" s="57"/>
      <c r="G85" s="57"/>
      <c r="H85" s="57"/>
      <c r="I85" s="57"/>
      <c r="J85" s="58" t="str">
        <f t="shared" si="6"/>
        <v/>
      </c>
      <c r="K85" s="58"/>
      <c r="L85" s="58" t="str">
        <f t="shared" si="3"/>
        <v/>
      </c>
      <c r="M85" s="59" t="str">
        <f t="shared" si="4"/>
        <v/>
      </c>
    </row>
    <row r="86" ht="12.75" customHeight="1">
      <c r="A86" s="60">
        <f t="shared" si="5"/>
        <v>45</v>
      </c>
      <c r="B86" s="27"/>
      <c r="C86" s="56"/>
      <c r="D86" s="56"/>
      <c r="E86" s="57"/>
      <c r="F86" s="57"/>
      <c r="G86" s="57"/>
      <c r="H86" s="57"/>
      <c r="I86" s="57"/>
      <c r="J86" s="58" t="str">
        <f t="shared" si="6"/>
        <v/>
      </c>
      <c r="K86" s="58"/>
      <c r="L86" s="58" t="str">
        <f t="shared" si="3"/>
        <v/>
      </c>
      <c r="M86" s="59" t="str">
        <f t="shared" si="4"/>
        <v/>
      </c>
    </row>
    <row r="87" ht="12.75" customHeight="1">
      <c r="A87" s="60">
        <f t="shared" si="5"/>
        <v>45</v>
      </c>
      <c r="B87" s="27"/>
      <c r="C87" s="56"/>
      <c r="D87" s="56"/>
      <c r="E87" s="57"/>
      <c r="F87" s="57"/>
      <c r="G87" s="57"/>
      <c r="H87" s="57"/>
      <c r="I87" s="57"/>
      <c r="J87" s="58" t="str">
        <f t="shared" si="6"/>
        <v/>
      </c>
      <c r="K87" s="58"/>
      <c r="L87" s="58" t="str">
        <f t="shared" si="3"/>
        <v/>
      </c>
      <c r="M87" s="59" t="str">
        <f t="shared" si="4"/>
        <v/>
      </c>
    </row>
    <row r="88" ht="12.75" customHeight="1">
      <c r="A88" s="60">
        <f t="shared" si="5"/>
        <v>45</v>
      </c>
      <c r="B88" s="27"/>
      <c r="C88" s="56"/>
      <c r="D88" s="56"/>
      <c r="E88" s="57"/>
      <c r="F88" s="57"/>
      <c r="G88" s="57"/>
      <c r="H88" s="57"/>
      <c r="I88" s="57"/>
      <c r="J88" s="58" t="str">
        <f t="shared" si="6"/>
        <v/>
      </c>
      <c r="K88" s="58"/>
      <c r="L88" s="58" t="str">
        <f t="shared" si="3"/>
        <v/>
      </c>
      <c r="M88" s="59" t="str">
        <f t="shared" si="4"/>
        <v/>
      </c>
    </row>
    <row r="89" ht="12.75" customHeight="1">
      <c r="A89" s="60">
        <f t="shared" si="5"/>
        <v>45</v>
      </c>
      <c r="B89" s="27"/>
      <c r="C89" s="56"/>
      <c r="D89" s="56"/>
      <c r="E89" s="57"/>
      <c r="F89" s="57"/>
      <c r="G89" s="57"/>
      <c r="H89" s="57"/>
      <c r="I89" s="57"/>
      <c r="J89" s="58" t="str">
        <f t="shared" si="6"/>
        <v/>
      </c>
      <c r="K89" s="58"/>
      <c r="L89" s="58" t="str">
        <f t="shared" si="3"/>
        <v/>
      </c>
      <c r="M89" s="59" t="str">
        <f t="shared" si="4"/>
        <v/>
      </c>
    </row>
    <row r="90" ht="12.75" customHeight="1">
      <c r="A90" s="60">
        <f t="shared" si="5"/>
        <v>45</v>
      </c>
      <c r="B90" s="27"/>
      <c r="C90" s="56"/>
      <c r="D90" s="56"/>
      <c r="E90" s="57"/>
      <c r="F90" s="57"/>
      <c r="G90" s="57"/>
      <c r="H90" s="57"/>
      <c r="I90" s="57"/>
      <c r="J90" s="58" t="str">
        <f t="shared" si="6"/>
        <v/>
      </c>
      <c r="K90" s="58"/>
      <c r="L90" s="58" t="str">
        <f t="shared" si="3"/>
        <v/>
      </c>
      <c r="M90" s="59" t="str">
        <f t="shared" si="4"/>
        <v/>
      </c>
    </row>
    <row r="91" ht="12.75" customHeight="1">
      <c r="A91" s="60">
        <f t="shared" si="5"/>
        <v>45</v>
      </c>
      <c r="B91" s="27"/>
      <c r="C91" s="56"/>
      <c r="D91" s="56"/>
      <c r="E91" s="57"/>
      <c r="F91" s="57"/>
      <c r="G91" s="57"/>
      <c r="H91" s="57"/>
      <c r="I91" s="57"/>
      <c r="J91" s="58" t="str">
        <f t="shared" si="6"/>
        <v/>
      </c>
      <c r="K91" s="58"/>
      <c r="L91" s="58" t="str">
        <f t="shared" si="3"/>
        <v/>
      </c>
      <c r="M91" s="59" t="str">
        <f t="shared" si="4"/>
        <v/>
      </c>
    </row>
    <row r="92" ht="12.75" customHeight="1">
      <c r="A92" s="60">
        <f t="shared" si="5"/>
        <v>45</v>
      </c>
      <c r="B92" s="27"/>
      <c r="C92" s="56"/>
      <c r="D92" s="56"/>
      <c r="E92" s="57"/>
      <c r="F92" s="57"/>
      <c r="G92" s="57"/>
      <c r="H92" s="57"/>
      <c r="I92" s="57"/>
      <c r="J92" s="58" t="str">
        <f t="shared" si="6"/>
        <v/>
      </c>
      <c r="K92" s="58"/>
      <c r="L92" s="58" t="str">
        <f t="shared" si="3"/>
        <v/>
      </c>
      <c r="M92" s="59" t="str">
        <f t="shared" si="4"/>
        <v/>
      </c>
    </row>
    <row r="93" ht="12.75" customHeight="1">
      <c r="A93" s="60">
        <f t="shared" si="5"/>
        <v>45</v>
      </c>
      <c r="B93" s="27"/>
      <c r="C93" s="56"/>
      <c r="D93" s="56"/>
      <c r="E93" s="57"/>
      <c r="F93" s="57"/>
      <c r="G93" s="57"/>
      <c r="H93" s="57"/>
      <c r="I93" s="57"/>
      <c r="J93" s="58" t="str">
        <f t="shared" si="6"/>
        <v/>
      </c>
      <c r="K93" s="58"/>
      <c r="L93" s="58" t="str">
        <f t="shared" si="3"/>
        <v/>
      </c>
      <c r="M93" s="59" t="str">
        <f t="shared" si="4"/>
        <v/>
      </c>
    </row>
    <row r="94" ht="12.75" customHeight="1">
      <c r="A94" s="60">
        <f t="shared" si="5"/>
        <v>45</v>
      </c>
      <c r="B94" s="27"/>
      <c r="C94" s="56"/>
      <c r="D94" s="56"/>
      <c r="E94" s="57"/>
      <c r="F94" s="57"/>
      <c r="G94" s="57"/>
      <c r="H94" s="57"/>
      <c r="I94" s="57"/>
      <c r="J94" s="58" t="str">
        <f t="shared" si="6"/>
        <v/>
      </c>
      <c r="K94" s="58"/>
      <c r="L94" s="58" t="str">
        <f t="shared" si="3"/>
        <v/>
      </c>
      <c r="M94" s="59" t="str">
        <f t="shared" si="4"/>
        <v/>
      </c>
    </row>
    <row r="95" ht="12.75" customHeight="1">
      <c r="A95" s="60">
        <f t="shared" si="5"/>
        <v>45</v>
      </c>
      <c r="B95" s="27"/>
      <c r="C95" s="56"/>
      <c r="D95" s="56"/>
      <c r="E95" s="57"/>
      <c r="F95" s="57"/>
      <c r="G95" s="57"/>
      <c r="H95" s="57"/>
      <c r="I95" s="57"/>
      <c r="J95" s="58" t="str">
        <f t="shared" si="6"/>
        <v/>
      </c>
      <c r="K95" s="58"/>
      <c r="L95" s="58" t="str">
        <f t="shared" si="3"/>
        <v/>
      </c>
      <c r="M95" s="59" t="str">
        <f t="shared" si="4"/>
        <v/>
      </c>
    </row>
    <row r="96" ht="12.75" customHeight="1">
      <c r="A96" s="60">
        <f t="shared" si="5"/>
        <v>45</v>
      </c>
      <c r="B96" s="27"/>
      <c r="C96" s="56"/>
      <c r="D96" s="56"/>
      <c r="E96" s="57"/>
      <c r="F96" s="57"/>
      <c r="G96" s="57"/>
      <c r="H96" s="57"/>
      <c r="I96" s="57"/>
      <c r="J96" s="58" t="str">
        <f t="shared" si="6"/>
        <v/>
      </c>
      <c r="K96" s="58"/>
      <c r="L96" s="58" t="str">
        <f t="shared" si="3"/>
        <v/>
      </c>
      <c r="M96" s="59" t="str">
        <f t="shared" si="4"/>
        <v/>
      </c>
    </row>
    <row r="97" ht="12.75" customHeight="1">
      <c r="A97" s="60">
        <f t="shared" si="5"/>
        <v>45</v>
      </c>
      <c r="B97" s="27"/>
      <c r="C97" s="56"/>
      <c r="D97" s="56"/>
      <c r="E97" s="57"/>
      <c r="F97" s="57"/>
      <c r="G97" s="57"/>
      <c r="H97" s="57"/>
      <c r="I97" s="57"/>
      <c r="J97" s="58" t="str">
        <f t="shared" si="6"/>
        <v/>
      </c>
      <c r="K97" s="58"/>
      <c r="L97" s="58" t="str">
        <f t="shared" si="3"/>
        <v/>
      </c>
      <c r="M97" s="59" t="str">
        <f t="shared" si="4"/>
        <v/>
      </c>
    </row>
    <row r="98" ht="12.75" customHeight="1">
      <c r="A98" s="60">
        <f t="shared" si="5"/>
        <v>45</v>
      </c>
      <c r="B98" s="27"/>
      <c r="C98" s="56"/>
      <c r="D98" s="56"/>
      <c r="E98" s="57"/>
      <c r="F98" s="57"/>
      <c r="G98" s="57"/>
      <c r="H98" s="57"/>
      <c r="I98" s="57"/>
      <c r="J98" s="58" t="str">
        <f t="shared" si="6"/>
        <v/>
      </c>
      <c r="K98" s="58"/>
      <c r="L98" s="58" t="str">
        <f t="shared" si="3"/>
        <v/>
      </c>
      <c r="M98" s="59" t="str">
        <f t="shared" si="4"/>
        <v/>
      </c>
    </row>
    <row r="99" ht="12.75" customHeight="1">
      <c r="A99" s="60">
        <f t="shared" si="5"/>
        <v>45</v>
      </c>
      <c r="B99" s="27"/>
      <c r="C99" s="56"/>
      <c r="D99" s="56"/>
      <c r="E99" s="57"/>
      <c r="F99" s="57"/>
      <c r="G99" s="57"/>
      <c r="H99" s="57"/>
      <c r="I99" s="57"/>
      <c r="J99" s="58" t="str">
        <f t="shared" si="6"/>
        <v/>
      </c>
      <c r="K99" s="58"/>
      <c r="L99" s="58" t="str">
        <f t="shared" si="3"/>
        <v/>
      </c>
      <c r="M99" s="59" t="str">
        <f t="shared" si="4"/>
        <v/>
      </c>
    </row>
    <row r="100" ht="12.75" customHeight="1">
      <c r="A100" s="60">
        <f t="shared" si="5"/>
        <v>45</v>
      </c>
      <c r="B100" s="27"/>
      <c r="C100" s="56"/>
      <c r="D100" s="56"/>
      <c r="E100" s="57"/>
      <c r="F100" s="57"/>
      <c r="G100" s="57"/>
      <c r="H100" s="57"/>
      <c r="I100" s="57"/>
      <c r="J100" s="58" t="str">
        <f t="shared" si="6"/>
        <v/>
      </c>
      <c r="K100" s="58"/>
      <c r="L100" s="58" t="str">
        <f t="shared" si="3"/>
        <v/>
      </c>
      <c r="M100" s="59" t="str">
        <f t="shared" si="4"/>
        <v/>
      </c>
    </row>
    <row r="101" ht="12.75" customHeight="1">
      <c r="A101" s="60">
        <f t="shared" si="5"/>
        <v>45</v>
      </c>
      <c r="B101" s="27"/>
      <c r="C101" s="56"/>
      <c r="D101" s="56"/>
      <c r="E101" s="57"/>
      <c r="F101" s="57"/>
      <c r="G101" s="57"/>
      <c r="H101" s="57"/>
      <c r="I101" s="57"/>
      <c r="J101" s="58" t="str">
        <f t="shared" si="6"/>
        <v/>
      </c>
      <c r="K101" s="58"/>
      <c r="L101" s="58" t="str">
        <f t="shared" si="3"/>
        <v/>
      </c>
      <c r="M101" s="59" t="str">
        <f t="shared" si="4"/>
        <v/>
      </c>
    </row>
    <row r="102" ht="12.75" customHeight="1">
      <c r="A102" s="60">
        <f t="shared" si="5"/>
        <v>45</v>
      </c>
      <c r="B102" s="27"/>
      <c r="C102" s="56"/>
      <c r="D102" s="56"/>
      <c r="E102" s="57"/>
      <c r="F102" s="57"/>
      <c r="G102" s="57"/>
      <c r="H102" s="57"/>
      <c r="I102" s="57"/>
      <c r="J102" s="58" t="str">
        <f t="shared" si="6"/>
        <v/>
      </c>
      <c r="K102" s="58"/>
      <c r="L102" s="58" t="str">
        <f t="shared" si="3"/>
        <v/>
      </c>
      <c r="M102" s="59" t="str">
        <f t="shared" si="4"/>
        <v/>
      </c>
    </row>
    <row r="103" ht="12.75" customHeight="1">
      <c r="A103" s="60">
        <f t="shared" si="5"/>
        <v>45</v>
      </c>
      <c r="B103" s="27"/>
      <c r="C103" s="56"/>
      <c r="D103" s="56"/>
      <c r="E103" s="57"/>
      <c r="F103" s="57"/>
      <c r="G103" s="57"/>
      <c r="H103" s="57"/>
      <c r="I103" s="57"/>
      <c r="J103" s="58" t="str">
        <f t="shared" si="6"/>
        <v/>
      </c>
      <c r="K103" s="58"/>
      <c r="L103" s="58" t="str">
        <f t="shared" si="3"/>
        <v/>
      </c>
      <c r="M103" s="59" t="str">
        <f t="shared" si="4"/>
        <v/>
      </c>
    </row>
    <row r="104" ht="12.75" customHeight="1">
      <c r="A104" s="60">
        <f t="shared" si="5"/>
        <v>45</v>
      </c>
      <c r="B104" s="27"/>
      <c r="C104" s="56"/>
      <c r="D104" s="56"/>
      <c r="E104" s="57"/>
      <c r="F104" s="57"/>
      <c r="G104" s="57"/>
      <c r="H104" s="57"/>
      <c r="I104" s="57"/>
      <c r="J104" s="58" t="str">
        <f t="shared" si="6"/>
        <v/>
      </c>
      <c r="K104" s="58"/>
      <c r="L104" s="58" t="str">
        <f t="shared" si="3"/>
        <v/>
      </c>
      <c r="M104" s="59" t="str">
        <f t="shared" si="4"/>
        <v/>
      </c>
    </row>
    <row r="105" ht="12.75" customHeight="1">
      <c r="A105" s="60">
        <f t="shared" si="5"/>
        <v>45</v>
      </c>
      <c r="B105" s="27"/>
      <c r="C105" s="56"/>
      <c r="D105" s="56"/>
      <c r="E105" s="57"/>
      <c r="F105" s="57"/>
      <c r="G105" s="57"/>
      <c r="H105" s="57"/>
      <c r="I105" s="57"/>
      <c r="J105" s="58" t="str">
        <f t="shared" si="6"/>
        <v/>
      </c>
      <c r="K105" s="58"/>
      <c r="L105" s="58" t="str">
        <f t="shared" si="3"/>
        <v/>
      </c>
      <c r="M105" s="59" t="str">
        <f t="shared" si="4"/>
        <v/>
      </c>
    </row>
    <row r="106" ht="12.75" customHeight="1">
      <c r="A106" s="60">
        <f t="shared" si="5"/>
        <v>45</v>
      </c>
      <c r="B106" s="27"/>
      <c r="C106" s="56"/>
      <c r="D106" s="56"/>
      <c r="E106" s="57"/>
      <c r="F106" s="57"/>
      <c r="G106" s="57"/>
      <c r="H106" s="57"/>
      <c r="I106" s="57"/>
      <c r="J106" s="58" t="str">
        <f t="shared" si="6"/>
        <v/>
      </c>
      <c r="K106" s="58"/>
      <c r="L106" s="58" t="str">
        <f t="shared" si="3"/>
        <v/>
      </c>
      <c r="M106" s="59" t="str">
        <f t="shared" si="4"/>
        <v/>
      </c>
    </row>
    <row r="107" ht="12.75" customHeight="1">
      <c r="A107" s="60">
        <f t="shared" si="5"/>
        <v>45</v>
      </c>
      <c r="B107" s="27"/>
      <c r="C107" s="56"/>
      <c r="D107" s="56"/>
      <c r="E107" s="57"/>
      <c r="F107" s="57"/>
      <c r="G107" s="57"/>
      <c r="H107" s="57"/>
      <c r="I107" s="57"/>
      <c r="J107" s="58" t="str">
        <f t="shared" si="6"/>
        <v/>
      </c>
      <c r="K107" s="58"/>
      <c r="L107" s="58" t="str">
        <f t="shared" si="3"/>
        <v/>
      </c>
      <c r="M107" s="59" t="str">
        <f t="shared" si="4"/>
        <v/>
      </c>
    </row>
    <row r="108" ht="12.75" customHeight="1">
      <c r="A108" s="60">
        <f t="shared" si="5"/>
        <v>45</v>
      </c>
      <c r="B108" s="27"/>
      <c r="C108" s="56"/>
      <c r="D108" s="56"/>
      <c r="E108" s="57"/>
      <c r="F108" s="57"/>
      <c r="G108" s="57"/>
      <c r="H108" s="57"/>
      <c r="I108" s="57"/>
      <c r="J108" s="58" t="str">
        <f t="shared" si="6"/>
        <v/>
      </c>
      <c r="K108" s="58"/>
      <c r="L108" s="58" t="str">
        <f t="shared" si="3"/>
        <v/>
      </c>
      <c r="M108" s="59" t="str">
        <f t="shared" si="4"/>
        <v/>
      </c>
    </row>
    <row r="109" ht="12.75" customHeight="1">
      <c r="A109" s="60">
        <f t="shared" si="5"/>
        <v>45</v>
      </c>
      <c r="B109" s="27"/>
      <c r="C109" s="56"/>
      <c r="D109" s="56"/>
      <c r="E109" s="57"/>
      <c r="F109" s="57"/>
      <c r="G109" s="57"/>
      <c r="H109" s="57"/>
      <c r="I109" s="57"/>
      <c r="J109" s="58" t="str">
        <f t="shared" si="6"/>
        <v/>
      </c>
      <c r="K109" s="58"/>
      <c r="L109" s="58" t="str">
        <f t="shared" si="3"/>
        <v/>
      </c>
      <c r="M109" s="59" t="str">
        <f t="shared" si="4"/>
        <v/>
      </c>
    </row>
    <row r="110" ht="12.75" customHeight="1">
      <c r="A110" s="60">
        <f t="shared" si="5"/>
        <v>45</v>
      </c>
      <c r="B110" s="27"/>
      <c r="C110" s="56"/>
      <c r="D110" s="56"/>
      <c r="E110" s="57"/>
      <c r="F110" s="57"/>
      <c r="G110" s="57"/>
      <c r="H110" s="57"/>
      <c r="I110" s="57"/>
      <c r="J110" s="58" t="str">
        <f t="shared" si="6"/>
        <v/>
      </c>
      <c r="K110" s="58"/>
      <c r="L110" s="58" t="str">
        <f t="shared" si="3"/>
        <v/>
      </c>
      <c r="M110" s="59" t="str">
        <f t="shared" si="4"/>
        <v/>
      </c>
    </row>
    <row r="111" ht="12.75" customHeight="1">
      <c r="A111" s="60">
        <f t="shared" si="5"/>
        <v>45</v>
      </c>
      <c r="B111" s="27"/>
      <c r="C111" s="56"/>
      <c r="D111" s="56"/>
      <c r="E111" s="57"/>
      <c r="F111" s="57"/>
      <c r="G111" s="57"/>
      <c r="H111" s="57"/>
      <c r="I111" s="57"/>
      <c r="J111" s="58" t="str">
        <f t="shared" si="6"/>
        <v/>
      </c>
      <c r="K111" s="58"/>
      <c r="L111" s="58" t="str">
        <f t="shared" si="3"/>
        <v/>
      </c>
      <c r="M111" s="59" t="str">
        <f t="shared" si="4"/>
        <v/>
      </c>
    </row>
    <row r="112" ht="12.75" customHeight="1">
      <c r="A112" s="60">
        <f t="shared" si="5"/>
        <v>45</v>
      </c>
      <c r="B112" s="27"/>
      <c r="C112" s="56"/>
      <c r="D112" s="56"/>
      <c r="E112" s="57"/>
      <c r="F112" s="57"/>
      <c r="G112" s="57"/>
      <c r="H112" s="57"/>
      <c r="I112" s="57"/>
      <c r="J112" s="58" t="str">
        <f t="shared" si="6"/>
        <v/>
      </c>
      <c r="K112" s="58"/>
      <c r="L112" s="58" t="str">
        <f t="shared" si="3"/>
        <v/>
      </c>
      <c r="M112" s="59" t="str">
        <f t="shared" si="4"/>
        <v/>
      </c>
    </row>
    <row r="113" ht="12.75" customHeight="1">
      <c r="A113" s="60">
        <f t="shared" si="5"/>
        <v>45</v>
      </c>
      <c r="B113" s="27"/>
      <c r="C113" s="56"/>
      <c r="D113" s="56"/>
      <c r="E113" s="57"/>
      <c r="F113" s="57"/>
      <c r="G113" s="57"/>
      <c r="H113" s="57"/>
      <c r="I113" s="57"/>
      <c r="J113" s="58" t="str">
        <f t="shared" si="6"/>
        <v/>
      </c>
      <c r="K113" s="58"/>
      <c r="L113" s="58" t="str">
        <f t="shared" si="3"/>
        <v/>
      </c>
      <c r="M113" s="59" t="str">
        <f t="shared" si="4"/>
        <v/>
      </c>
    </row>
    <row r="114" ht="12.75" customHeight="1">
      <c r="A114" s="60">
        <f t="shared" si="5"/>
        <v>45</v>
      </c>
      <c r="B114" s="27"/>
      <c r="C114" s="56"/>
      <c r="D114" s="56"/>
      <c r="E114" s="57"/>
      <c r="F114" s="57"/>
      <c r="G114" s="57"/>
      <c r="H114" s="57"/>
      <c r="I114" s="57"/>
      <c r="J114" s="58" t="str">
        <f t="shared" si="6"/>
        <v/>
      </c>
      <c r="K114" s="58"/>
      <c r="L114" s="58" t="str">
        <f t="shared" si="3"/>
        <v/>
      </c>
      <c r="M114" s="59" t="str">
        <f t="shared" si="4"/>
        <v/>
      </c>
    </row>
    <row r="115" ht="12.75" customHeight="1">
      <c r="A115" s="60">
        <f t="shared" si="5"/>
        <v>45</v>
      </c>
      <c r="B115" s="27"/>
      <c r="C115" s="56"/>
      <c r="D115" s="56"/>
      <c r="E115" s="57"/>
      <c r="F115" s="57"/>
      <c r="G115" s="57"/>
      <c r="H115" s="57"/>
      <c r="I115" s="57"/>
      <c r="J115" s="58" t="str">
        <f t="shared" si="6"/>
        <v/>
      </c>
      <c r="K115" s="58"/>
      <c r="L115" s="58" t="str">
        <f t="shared" si="3"/>
        <v/>
      </c>
      <c r="M115" s="59" t="str">
        <f t="shared" si="4"/>
        <v/>
      </c>
    </row>
    <row r="116" ht="12.75" customHeight="1">
      <c r="A116" s="60">
        <f t="shared" si="5"/>
        <v>45</v>
      </c>
      <c r="B116" s="27"/>
      <c r="C116" s="56"/>
      <c r="D116" s="56"/>
      <c r="E116" s="57"/>
      <c r="F116" s="57"/>
      <c r="G116" s="57"/>
      <c r="H116" s="57"/>
      <c r="I116" s="57"/>
      <c r="J116" s="58" t="str">
        <f t="shared" si="6"/>
        <v/>
      </c>
      <c r="K116" s="58"/>
      <c r="L116" s="58" t="str">
        <f t="shared" si="3"/>
        <v/>
      </c>
      <c r="M116" s="59" t="str">
        <f t="shared" si="4"/>
        <v/>
      </c>
    </row>
    <row r="117" ht="12.75" customHeight="1">
      <c r="A117" s="60">
        <f t="shared" si="5"/>
        <v>45</v>
      </c>
      <c r="B117" s="27"/>
      <c r="C117" s="56"/>
      <c r="D117" s="56"/>
      <c r="E117" s="57"/>
      <c r="F117" s="57"/>
      <c r="G117" s="57"/>
      <c r="H117" s="57"/>
      <c r="I117" s="57"/>
      <c r="J117" s="58" t="str">
        <f t="shared" si="6"/>
        <v/>
      </c>
      <c r="K117" s="58"/>
      <c r="L117" s="58" t="str">
        <f t="shared" si="3"/>
        <v/>
      </c>
      <c r="M117" s="59" t="str">
        <f t="shared" si="4"/>
        <v/>
      </c>
    </row>
    <row r="118" ht="12.75" customHeight="1">
      <c r="A118" s="60">
        <f t="shared" si="5"/>
        <v>45</v>
      </c>
      <c r="B118" s="27"/>
      <c r="C118" s="56"/>
      <c r="D118" s="56"/>
      <c r="E118" s="57"/>
      <c r="F118" s="57"/>
      <c r="G118" s="57"/>
      <c r="H118" s="57"/>
      <c r="I118" s="57"/>
      <c r="J118" s="58" t="str">
        <f t="shared" si="6"/>
        <v/>
      </c>
      <c r="K118" s="58"/>
      <c r="L118" s="58" t="str">
        <f t="shared" si="3"/>
        <v/>
      </c>
      <c r="M118" s="59" t="str">
        <f t="shared" si="4"/>
        <v/>
      </c>
    </row>
    <row r="119" ht="12.75" customHeight="1">
      <c r="A119" s="60">
        <f t="shared" si="5"/>
        <v>45</v>
      </c>
      <c r="B119" s="27"/>
      <c r="C119" s="56"/>
      <c r="D119" s="56"/>
      <c r="E119" s="57"/>
      <c r="F119" s="57"/>
      <c r="G119" s="57"/>
      <c r="H119" s="57"/>
      <c r="I119" s="57"/>
      <c r="J119" s="58" t="str">
        <f t="shared" si="6"/>
        <v/>
      </c>
      <c r="K119" s="58"/>
      <c r="L119" s="58" t="str">
        <f t="shared" si="3"/>
        <v/>
      </c>
      <c r="M119" s="59" t="str">
        <f t="shared" si="4"/>
        <v/>
      </c>
    </row>
    <row r="120" ht="12.75" customHeight="1">
      <c r="A120" s="60">
        <f t="shared" si="5"/>
        <v>45</v>
      </c>
      <c r="B120" s="27"/>
      <c r="C120" s="56"/>
      <c r="D120" s="56"/>
      <c r="E120" s="57"/>
      <c r="F120" s="57"/>
      <c r="G120" s="57"/>
      <c r="H120" s="57"/>
      <c r="I120" s="57"/>
      <c r="J120" s="58" t="str">
        <f t="shared" si="6"/>
        <v/>
      </c>
      <c r="K120" s="58"/>
      <c r="L120" s="58" t="str">
        <f t="shared" si="3"/>
        <v/>
      </c>
      <c r="M120" s="59" t="str">
        <f t="shared" si="4"/>
        <v/>
      </c>
    </row>
    <row r="121" ht="12.75" customHeight="1">
      <c r="A121" s="60">
        <f t="shared" si="5"/>
        <v>45</v>
      </c>
      <c r="B121" s="27"/>
      <c r="C121" s="56"/>
      <c r="D121" s="56"/>
      <c r="E121" s="57"/>
      <c r="F121" s="57"/>
      <c r="G121" s="57"/>
      <c r="H121" s="57"/>
      <c r="I121" s="57"/>
      <c r="J121" s="58" t="str">
        <f t="shared" si="6"/>
        <v/>
      </c>
      <c r="K121" s="58"/>
      <c r="L121" s="58" t="str">
        <f t="shared" si="3"/>
        <v/>
      </c>
      <c r="M121" s="59" t="str">
        <f t="shared" si="4"/>
        <v/>
      </c>
    </row>
    <row r="122" ht="12.75" customHeight="1">
      <c r="A122" s="60">
        <f t="shared" si="5"/>
        <v>45</v>
      </c>
      <c r="B122" s="27"/>
      <c r="C122" s="56"/>
      <c r="D122" s="56"/>
      <c r="E122" s="57"/>
      <c r="F122" s="57"/>
      <c r="G122" s="57"/>
      <c r="H122" s="57"/>
      <c r="I122" s="57"/>
      <c r="J122" s="58" t="str">
        <f t="shared" si="6"/>
        <v/>
      </c>
      <c r="K122" s="58"/>
      <c r="L122" s="58" t="str">
        <f t="shared" si="3"/>
        <v/>
      </c>
      <c r="M122" s="59" t="str">
        <f t="shared" si="4"/>
        <v/>
      </c>
    </row>
    <row r="123" ht="12.75" customHeight="1">
      <c r="A123" s="60">
        <f t="shared" si="5"/>
        <v>45</v>
      </c>
      <c r="B123" s="27"/>
      <c r="C123" s="56"/>
      <c r="D123" s="56"/>
      <c r="E123" s="57"/>
      <c r="F123" s="57"/>
      <c r="G123" s="57"/>
      <c r="H123" s="57"/>
      <c r="I123" s="57"/>
      <c r="J123" s="58" t="str">
        <f t="shared" si="6"/>
        <v/>
      </c>
      <c r="K123" s="58"/>
      <c r="L123" s="58" t="str">
        <f t="shared" si="3"/>
        <v/>
      </c>
      <c r="M123" s="59" t="str">
        <f t="shared" si="4"/>
        <v/>
      </c>
    </row>
    <row r="124" ht="12.75" customHeight="1">
      <c r="A124" s="60">
        <f t="shared" si="5"/>
        <v>45</v>
      </c>
      <c r="B124" s="27"/>
      <c r="C124" s="56"/>
      <c r="D124" s="56"/>
      <c r="E124" s="57"/>
      <c r="F124" s="57"/>
      <c r="G124" s="57"/>
      <c r="H124" s="57"/>
      <c r="I124" s="57"/>
      <c r="J124" s="58" t="str">
        <f t="shared" si="6"/>
        <v/>
      </c>
      <c r="K124" s="58"/>
      <c r="L124" s="58" t="str">
        <f t="shared" si="3"/>
        <v/>
      </c>
      <c r="M124" s="59" t="str">
        <f t="shared" si="4"/>
        <v/>
      </c>
    </row>
    <row r="125" ht="12.75" customHeight="1">
      <c r="A125" s="60">
        <f t="shared" si="5"/>
        <v>45</v>
      </c>
      <c r="B125" s="27"/>
      <c r="C125" s="56"/>
      <c r="D125" s="56"/>
      <c r="E125" s="57"/>
      <c r="F125" s="57"/>
      <c r="G125" s="57"/>
      <c r="H125" s="57"/>
      <c r="I125" s="57"/>
      <c r="J125" s="58" t="str">
        <f t="shared" si="6"/>
        <v/>
      </c>
      <c r="K125" s="58"/>
      <c r="L125" s="58" t="str">
        <f t="shared" si="3"/>
        <v/>
      </c>
      <c r="M125" s="59" t="str">
        <f t="shared" si="4"/>
        <v/>
      </c>
    </row>
    <row r="126" ht="12.75" customHeight="1">
      <c r="A126" s="60">
        <f t="shared" si="5"/>
        <v>45</v>
      </c>
      <c r="B126" s="27"/>
      <c r="C126" s="56"/>
      <c r="D126" s="56"/>
      <c r="E126" s="57"/>
      <c r="F126" s="57"/>
      <c r="G126" s="57"/>
      <c r="H126" s="57"/>
      <c r="I126" s="57"/>
      <c r="J126" s="58" t="str">
        <f t="shared" si="6"/>
        <v/>
      </c>
      <c r="K126" s="58"/>
      <c r="L126" s="58" t="str">
        <f t="shared" si="3"/>
        <v/>
      </c>
      <c r="M126" s="59" t="str">
        <f t="shared" si="4"/>
        <v/>
      </c>
    </row>
    <row r="127" ht="12.75" customHeight="1">
      <c r="A127" s="60">
        <f t="shared" si="5"/>
        <v>45</v>
      </c>
      <c r="B127" s="27"/>
      <c r="C127" s="56"/>
      <c r="D127" s="56"/>
      <c r="E127" s="57"/>
      <c r="F127" s="57"/>
      <c r="G127" s="57"/>
      <c r="H127" s="57"/>
      <c r="I127" s="57"/>
      <c r="J127" s="58" t="str">
        <f t="shared" si="6"/>
        <v/>
      </c>
      <c r="K127" s="58"/>
      <c r="L127" s="58" t="str">
        <f t="shared" si="3"/>
        <v/>
      </c>
      <c r="M127" s="59" t="str">
        <f t="shared" si="4"/>
        <v/>
      </c>
    </row>
    <row r="128" ht="12.75" customHeight="1">
      <c r="A128" s="60">
        <f t="shared" si="5"/>
        <v>45</v>
      </c>
      <c r="B128" s="27"/>
      <c r="C128" s="56"/>
      <c r="D128" s="56"/>
      <c r="E128" s="57"/>
      <c r="F128" s="57"/>
      <c r="G128" s="57"/>
      <c r="H128" s="57"/>
      <c r="I128" s="57"/>
      <c r="J128" s="58" t="str">
        <f t="shared" si="6"/>
        <v/>
      </c>
      <c r="K128" s="58"/>
      <c r="L128" s="58" t="str">
        <f t="shared" si="3"/>
        <v/>
      </c>
      <c r="M128" s="59" t="str">
        <f t="shared" si="4"/>
        <v/>
      </c>
    </row>
    <row r="129" ht="12.75" customHeight="1">
      <c r="A129" s="60">
        <f t="shared" si="5"/>
        <v>45</v>
      </c>
      <c r="B129" s="27"/>
      <c r="C129" s="56"/>
      <c r="D129" s="56"/>
      <c r="E129" s="57"/>
      <c r="F129" s="57"/>
      <c r="G129" s="57"/>
      <c r="H129" s="57"/>
      <c r="I129" s="57"/>
      <c r="J129" s="58" t="str">
        <f t="shared" si="6"/>
        <v/>
      </c>
      <c r="K129" s="58"/>
      <c r="L129" s="58" t="str">
        <f t="shared" si="3"/>
        <v/>
      </c>
      <c r="M129" s="59" t="str">
        <f t="shared" si="4"/>
        <v/>
      </c>
    </row>
    <row r="130" ht="12.75" customHeight="1">
      <c r="A130" s="60">
        <f t="shared" si="5"/>
        <v>45</v>
      </c>
      <c r="B130" s="27"/>
      <c r="C130" s="56"/>
      <c r="D130" s="56"/>
      <c r="E130" s="57"/>
      <c r="F130" s="57"/>
      <c r="G130" s="57"/>
      <c r="H130" s="57"/>
      <c r="I130" s="57"/>
      <c r="J130" s="58" t="str">
        <f t="shared" si="6"/>
        <v/>
      </c>
      <c r="K130" s="58"/>
      <c r="L130" s="58" t="str">
        <f t="shared" si="3"/>
        <v/>
      </c>
      <c r="M130" s="59" t="str">
        <f t="shared" si="4"/>
        <v/>
      </c>
    </row>
    <row r="131" ht="12.75" customHeight="1">
      <c r="A131" s="60">
        <f t="shared" si="5"/>
        <v>45</v>
      </c>
      <c r="B131" s="27"/>
      <c r="C131" s="56"/>
      <c r="D131" s="56"/>
      <c r="E131" s="57"/>
      <c r="F131" s="57"/>
      <c r="G131" s="57"/>
      <c r="H131" s="57"/>
      <c r="I131" s="57"/>
      <c r="J131" s="58" t="str">
        <f t="shared" si="6"/>
        <v/>
      </c>
      <c r="K131" s="58"/>
      <c r="L131" s="58" t="str">
        <f t="shared" si="3"/>
        <v/>
      </c>
      <c r="M131" s="59" t="str">
        <f t="shared" si="4"/>
        <v/>
      </c>
    </row>
    <row r="132" ht="12.75" customHeight="1">
      <c r="A132" s="60">
        <f t="shared" si="5"/>
        <v>45</v>
      </c>
      <c r="B132" s="27"/>
      <c r="C132" s="56"/>
      <c r="D132" s="56"/>
      <c r="E132" s="57"/>
      <c r="F132" s="57"/>
      <c r="G132" s="57"/>
      <c r="H132" s="57"/>
      <c r="I132" s="57"/>
      <c r="J132" s="58" t="str">
        <f t="shared" si="6"/>
        <v/>
      </c>
      <c r="K132" s="58"/>
      <c r="L132" s="58" t="str">
        <f t="shared" si="3"/>
        <v/>
      </c>
      <c r="M132" s="59" t="str">
        <f t="shared" si="4"/>
        <v/>
      </c>
    </row>
    <row r="133" ht="12.75" customHeight="1">
      <c r="A133" s="60">
        <f t="shared" si="5"/>
        <v>45</v>
      </c>
      <c r="B133" s="27"/>
      <c r="C133" s="56"/>
      <c r="D133" s="56"/>
      <c r="E133" s="57"/>
      <c r="F133" s="57"/>
      <c r="G133" s="57"/>
      <c r="H133" s="57"/>
      <c r="I133" s="57"/>
      <c r="J133" s="58" t="str">
        <f t="shared" si="6"/>
        <v/>
      </c>
      <c r="K133" s="58"/>
      <c r="L133" s="58" t="str">
        <f t="shared" si="3"/>
        <v/>
      </c>
      <c r="M133" s="59" t="str">
        <f t="shared" si="4"/>
        <v/>
      </c>
    </row>
    <row r="134" ht="12.75" customHeight="1">
      <c r="A134" s="60">
        <f t="shared" si="5"/>
        <v>45</v>
      </c>
      <c r="B134" s="27"/>
      <c r="C134" s="56"/>
      <c r="D134" s="56"/>
      <c r="E134" s="57"/>
      <c r="F134" s="57"/>
      <c r="G134" s="57"/>
      <c r="H134" s="57"/>
      <c r="I134" s="57"/>
      <c r="J134" s="58" t="str">
        <f t="shared" si="6"/>
        <v/>
      </c>
      <c r="K134" s="58"/>
      <c r="L134" s="58" t="str">
        <f t="shared" si="3"/>
        <v/>
      </c>
      <c r="M134" s="59" t="str">
        <f t="shared" si="4"/>
        <v/>
      </c>
    </row>
    <row r="135" ht="12.75" customHeight="1">
      <c r="A135" s="60">
        <f t="shared" si="5"/>
        <v>45</v>
      </c>
      <c r="B135" s="27"/>
      <c r="C135" s="56"/>
      <c r="D135" s="56"/>
      <c r="E135" s="57"/>
      <c r="F135" s="57"/>
      <c r="G135" s="57"/>
      <c r="H135" s="57"/>
      <c r="I135" s="57"/>
      <c r="J135" s="58" t="str">
        <f t="shared" si="6"/>
        <v/>
      </c>
      <c r="K135" s="58"/>
      <c r="L135" s="58" t="str">
        <f t="shared" si="3"/>
        <v/>
      </c>
      <c r="M135" s="59" t="str">
        <f t="shared" si="4"/>
        <v/>
      </c>
    </row>
    <row r="136" ht="12.75" customHeight="1">
      <c r="A136" s="60">
        <f t="shared" si="5"/>
        <v>45</v>
      </c>
      <c r="B136" s="27"/>
      <c r="C136" s="56"/>
      <c r="D136" s="56"/>
      <c r="E136" s="57"/>
      <c r="F136" s="57"/>
      <c r="G136" s="57"/>
      <c r="H136" s="57"/>
      <c r="I136" s="57"/>
      <c r="J136" s="58" t="str">
        <f t="shared" si="6"/>
        <v/>
      </c>
      <c r="K136" s="58"/>
      <c r="L136" s="58" t="str">
        <f t="shared" si="3"/>
        <v/>
      </c>
      <c r="M136" s="59" t="str">
        <f t="shared" si="4"/>
        <v/>
      </c>
    </row>
    <row r="137" ht="12.75" customHeight="1">
      <c r="A137" s="60">
        <f t="shared" si="5"/>
        <v>45</v>
      </c>
      <c r="B137" s="27"/>
      <c r="C137" s="56"/>
      <c r="D137" s="56"/>
      <c r="E137" s="57"/>
      <c r="F137" s="57"/>
      <c r="G137" s="57"/>
      <c r="H137" s="57"/>
      <c r="I137" s="57"/>
      <c r="J137" s="58" t="str">
        <f t="shared" si="6"/>
        <v/>
      </c>
      <c r="K137" s="58"/>
      <c r="L137" s="58" t="str">
        <f t="shared" si="3"/>
        <v/>
      </c>
      <c r="M137" s="59" t="str">
        <f t="shared" si="4"/>
        <v/>
      </c>
    </row>
    <row r="138" ht="12.75" customHeight="1">
      <c r="A138" s="60">
        <f t="shared" si="5"/>
        <v>45</v>
      </c>
      <c r="B138" s="27"/>
      <c r="C138" s="56"/>
      <c r="D138" s="56"/>
      <c r="E138" s="57"/>
      <c r="F138" s="57"/>
      <c r="G138" s="57"/>
      <c r="H138" s="57"/>
      <c r="I138" s="57"/>
      <c r="J138" s="58" t="str">
        <f t="shared" si="6"/>
        <v/>
      </c>
      <c r="K138" s="58"/>
      <c r="L138" s="58" t="str">
        <f t="shared" si="3"/>
        <v/>
      </c>
      <c r="M138" s="59" t="str">
        <f t="shared" si="4"/>
        <v/>
      </c>
    </row>
    <row r="139" ht="12.75" customHeight="1">
      <c r="A139" s="60">
        <f t="shared" si="5"/>
        <v>45</v>
      </c>
      <c r="B139" s="27"/>
      <c r="C139" s="56"/>
      <c r="D139" s="56"/>
      <c r="E139" s="57"/>
      <c r="F139" s="57"/>
      <c r="G139" s="57"/>
      <c r="H139" s="57"/>
      <c r="I139" s="57"/>
      <c r="J139" s="58" t="str">
        <f t="shared" si="6"/>
        <v/>
      </c>
      <c r="K139" s="58"/>
      <c r="L139" s="58" t="str">
        <f t="shared" si="3"/>
        <v/>
      </c>
      <c r="M139" s="59" t="str">
        <f t="shared" si="4"/>
        <v/>
      </c>
    </row>
    <row r="140" ht="12.75" customHeight="1">
      <c r="A140" s="60">
        <f t="shared" si="5"/>
        <v>45</v>
      </c>
      <c r="B140" s="27"/>
      <c r="C140" s="56"/>
      <c r="D140" s="56"/>
      <c r="E140" s="57"/>
      <c r="F140" s="57"/>
      <c r="G140" s="57"/>
      <c r="H140" s="57"/>
      <c r="I140" s="57"/>
      <c r="J140" s="58" t="str">
        <f t="shared" si="6"/>
        <v/>
      </c>
      <c r="K140" s="58"/>
      <c r="L140" s="58" t="str">
        <f t="shared" si="3"/>
        <v/>
      </c>
      <c r="M140" s="59" t="str">
        <f t="shared" si="4"/>
        <v/>
      </c>
    </row>
    <row r="141" ht="12.75" customHeight="1">
      <c r="A141" s="60">
        <f t="shared" si="5"/>
        <v>45</v>
      </c>
      <c r="B141" s="27"/>
      <c r="C141" s="56"/>
      <c r="D141" s="56"/>
      <c r="E141" s="57"/>
      <c r="F141" s="57"/>
      <c r="G141" s="57"/>
      <c r="H141" s="57"/>
      <c r="I141" s="57"/>
      <c r="J141" s="58" t="str">
        <f t="shared" si="6"/>
        <v/>
      </c>
      <c r="K141" s="58"/>
      <c r="L141" s="58" t="str">
        <f t="shared" si="3"/>
        <v/>
      </c>
      <c r="M141" s="59" t="str">
        <f t="shared" si="4"/>
        <v/>
      </c>
    </row>
    <row r="142" ht="12.75" customHeight="1">
      <c r="A142" s="60">
        <f t="shared" si="5"/>
        <v>45</v>
      </c>
      <c r="B142" s="27"/>
      <c r="C142" s="56"/>
      <c r="D142" s="56"/>
      <c r="E142" s="57"/>
      <c r="F142" s="57"/>
      <c r="G142" s="57"/>
      <c r="H142" s="57"/>
      <c r="I142" s="57"/>
      <c r="J142" s="58" t="str">
        <f t="shared" si="6"/>
        <v/>
      </c>
      <c r="K142" s="58"/>
      <c r="L142" s="58" t="str">
        <f t="shared" si="3"/>
        <v/>
      </c>
      <c r="M142" s="59" t="str">
        <f t="shared" si="4"/>
        <v/>
      </c>
    </row>
    <row r="143" ht="12.75" customHeight="1">
      <c r="A143" s="60">
        <f t="shared" si="5"/>
        <v>45</v>
      </c>
      <c r="B143" s="27"/>
      <c r="C143" s="56"/>
      <c r="D143" s="56"/>
      <c r="E143" s="57"/>
      <c r="F143" s="57"/>
      <c r="G143" s="57"/>
      <c r="H143" s="57"/>
      <c r="I143" s="57"/>
      <c r="J143" s="58" t="str">
        <f t="shared" si="6"/>
        <v/>
      </c>
      <c r="K143" s="58"/>
      <c r="L143" s="58" t="str">
        <f t="shared" si="3"/>
        <v/>
      </c>
      <c r="M143" s="59" t="str">
        <f t="shared" si="4"/>
        <v/>
      </c>
    </row>
    <row r="144" ht="12.75" customHeight="1">
      <c r="A144" s="60">
        <f t="shared" si="5"/>
        <v>45</v>
      </c>
      <c r="B144" s="27"/>
      <c r="C144" s="56"/>
      <c r="D144" s="56"/>
      <c r="E144" s="57"/>
      <c r="F144" s="57"/>
      <c r="G144" s="57"/>
      <c r="H144" s="57"/>
      <c r="I144" s="57"/>
      <c r="J144" s="58" t="str">
        <f t="shared" si="6"/>
        <v/>
      </c>
      <c r="K144" s="58"/>
      <c r="L144" s="58" t="str">
        <f t="shared" si="3"/>
        <v/>
      </c>
      <c r="M144" s="59" t="str">
        <f t="shared" si="4"/>
        <v/>
      </c>
    </row>
    <row r="145" ht="12.75" customHeight="1">
      <c r="A145" s="60">
        <f t="shared" si="5"/>
        <v>45</v>
      </c>
      <c r="B145" s="27"/>
      <c r="C145" s="56"/>
      <c r="D145" s="56"/>
      <c r="E145" s="57"/>
      <c r="F145" s="57"/>
      <c r="G145" s="57"/>
      <c r="H145" s="57"/>
      <c r="I145" s="57"/>
      <c r="J145" s="58" t="str">
        <f t="shared" si="6"/>
        <v/>
      </c>
      <c r="K145" s="58"/>
      <c r="L145" s="58" t="str">
        <f t="shared" si="3"/>
        <v/>
      </c>
      <c r="M145" s="59" t="str">
        <f t="shared" si="4"/>
        <v/>
      </c>
    </row>
    <row r="146" ht="12.75" customHeight="1">
      <c r="A146" s="60">
        <f t="shared" si="5"/>
        <v>45</v>
      </c>
      <c r="B146" s="27"/>
      <c r="C146" s="56"/>
      <c r="D146" s="56"/>
      <c r="E146" s="57"/>
      <c r="F146" s="57"/>
      <c r="G146" s="57"/>
      <c r="H146" s="57"/>
      <c r="I146" s="57"/>
      <c r="J146" s="58" t="str">
        <f t="shared" si="6"/>
        <v/>
      </c>
      <c r="K146" s="58"/>
      <c r="L146" s="58" t="str">
        <f t="shared" si="3"/>
        <v/>
      </c>
      <c r="M146" s="59" t="str">
        <f t="shared" si="4"/>
        <v/>
      </c>
    </row>
    <row r="147" ht="12.75" customHeight="1">
      <c r="A147" s="60">
        <f t="shared" si="5"/>
        <v>45</v>
      </c>
      <c r="B147" s="27"/>
      <c r="C147" s="56"/>
      <c r="D147" s="56"/>
      <c r="E147" s="57"/>
      <c r="F147" s="57"/>
      <c r="G147" s="57"/>
      <c r="H147" s="57"/>
      <c r="I147" s="57"/>
      <c r="J147" s="58" t="str">
        <f t="shared" si="6"/>
        <v/>
      </c>
      <c r="K147" s="58"/>
      <c r="L147" s="58" t="str">
        <f t="shared" si="3"/>
        <v/>
      </c>
      <c r="M147" s="59" t="str">
        <f t="shared" si="4"/>
        <v/>
      </c>
    </row>
    <row r="148" ht="12.75" customHeight="1">
      <c r="A148" s="60">
        <f t="shared" si="5"/>
        <v>45</v>
      </c>
      <c r="B148" s="27"/>
      <c r="C148" s="56"/>
      <c r="D148" s="56"/>
      <c r="E148" s="57"/>
      <c r="F148" s="57"/>
      <c r="G148" s="57"/>
      <c r="H148" s="57"/>
      <c r="I148" s="57"/>
      <c r="J148" s="58" t="str">
        <f t="shared" si="6"/>
        <v/>
      </c>
      <c r="K148" s="58"/>
      <c r="L148" s="58" t="str">
        <f t="shared" si="3"/>
        <v/>
      </c>
      <c r="M148" s="59" t="str">
        <f t="shared" si="4"/>
        <v/>
      </c>
    </row>
    <row r="149" ht="12.75" customHeight="1">
      <c r="A149" s="60">
        <f t="shared" si="5"/>
        <v>45</v>
      </c>
      <c r="B149" s="27"/>
      <c r="C149" s="56"/>
      <c r="D149" s="56"/>
      <c r="E149" s="57"/>
      <c r="F149" s="57"/>
      <c r="G149" s="57"/>
      <c r="H149" s="57"/>
      <c r="I149" s="57"/>
      <c r="J149" s="58" t="str">
        <f t="shared" si="6"/>
        <v/>
      </c>
      <c r="K149" s="58"/>
      <c r="L149" s="58" t="str">
        <f t="shared" si="3"/>
        <v/>
      </c>
      <c r="M149" s="59" t="str">
        <f t="shared" si="4"/>
        <v/>
      </c>
    </row>
    <row r="150" ht="12.75" customHeight="1">
      <c r="A150" s="60">
        <f t="shared" si="5"/>
        <v>45</v>
      </c>
      <c r="B150" s="27"/>
      <c r="C150" s="56"/>
      <c r="D150" s="56"/>
      <c r="E150" s="57"/>
      <c r="F150" s="57"/>
      <c r="G150" s="57"/>
      <c r="H150" s="57"/>
      <c r="I150" s="57"/>
      <c r="J150" s="58" t="str">
        <f t="shared" si="6"/>
        <v/>
      </c>
      <c r="K150" s="58"/>
      <c r="L150" s="58" t="str">
        <f t="shared" si="3"/>
        <v/>
      </c>
      <c r="M150" s="59" t="str">
        <f t="shared" si="4"/>
        <v/>
      </c>
    </row>
    <row r="151" ht="12.75" customHeight="1">
      <c r="A151" s="60">
        <f t="shared" si="5"/>
        <v>45</v>
      </c>
      <c r="B151" s="27"/>
      <c r="C151" s="56"/>
      <c r="D151" s="56"/>
      <c r="E151" s="57"/>
      <c r="F151" s="57"/>
      <c r="G151" s="57"/>
      <c r="H151" s="57"/>
      <c r="I151" s="57"/>
      <c r="J151" s="58" t="str">
        <f t="shared" si="6"/>
        <v/>
      </c>
      <c r="K151" s="58"/>
      <c r="L151" s="58" t="str">
        <f t="shared" si="3"/>
        <v/>
      </c>
      <c r="M151" s="59" t="str">
        <f t="shared" si="4"/>
        <v/>
      </c>
    </row>
    <row r="152" ht="12.75" customHeight="1">
      <c r="A152" s="60">
        <f t="shared" si="5"/>
        <v>45</v>
      </c>
      <c r="B152" s="27"/>
      <c r="C152" s="56"/>
      <c r="D152" s="56"/>
      <c r="E152" s="57"/>
      <c r="F152" s="57"/>
      <c r="G152" s="57"/>
      <c r="H152" s="57"/>
      <c r="I152" s="57"/>
      <c r="J152" s="58" t="str">
        <f t="shared" si="6"/>
        <v/>
      </c>
      <c r="K152" s="58"/>
      <c r="L152" s="58" t="str">
        <f t="shared" si="3"/>
        <v/>
      </c>
      <c r="M152" s="59" t="str">
        <f t="shared" si="4"/>
        <v/>
      </c>
    </row>
    <row r="153" ht="12.75" customHeight="1">
      <c r="A153" s="60">
        <f t="shared" si="5"/>
        <v>45</v>
      </c>
      <c r="B153" s="27"/>
      <c r="C153" s="56"/>
      <c r="D153" s="56"/>
      <c r="E153" s="57"/>
      <c r="F153" s="57"/>
      <c r="G153" s="57"/>
      <c r="H153" s="57"/>
      <c r="I153" s="57"/>
      <c r="J153" s="58" t="str">
        <f t="shared" si="6"/>
        <v/>
      </c>
      <c r="K153" s="58"/>
      <c r="L153" s="58" t="str">
        <f t="shared" si="3"/>
        <v/>
      </c>
      <c r="M153" s="59" t="str">
        <f t="shared" si="4"/>
        <v/>
      </c>
    </row>
    <row r="154" ht="12.75" customHeight="1">
      <c r="A154" s="60">
        <f t="shared" si="5"/>
        <v>45</v>
      </c>
      <c r="B154" s="27"/>
      <c r="C154" s="56"/>
      <c r="D154" s="56"/>
      <c r="E154" s="57"/>
      <c r="F154" s="57"/>
      <c r="G154" s="57"/>
      <c r="H154" s="57"/>
      <c r="I154" s="57"/>
      <c r="J154" s="58" t="str">
        <f t="shared" si="6"/>
        <v/>
      </c>
      <c r="K154" s="58"/>
      <c r="L154" s="58" t="str">
        <f t="shared" si="3"/>
        <v/>
      </c>
      <c r="M154" s="59" t="str">
        <f t="shared" si="4"/>
        <v/>
      </c>
    </row>
    <row r="155" ht="12.75" customHeight="1">
      <c r="A155" s="64"/>
      <c r="J155" s="49"/>
      <c r="K155" s="49"/>
      <c r="L155" s="49"/>
    </row>
    <row r="156" ht="12.75" customHeight="1">
      <c r="A156" s="64"/>
      <c r="J156" s="49"/>
      <c r="K156" s="49"/>
      <c r="L156" s="49"/>
    </row>
    <row r="157" ht="12.75" customHeight="1">
      <c r="A157" s="64"/>
      <c r="J157" s="49"/>
      <c r="K157" s="49"/>
      <c r="L157" s="49"/>
    </row>
    <row r="158" ht="12.75" customHeight="1">
      <c r="A158" s="64"/>
      <c r="J158" s="49"/>
      <c r="K158" s="49"/>
      <c r="L158" s="49"/>
    </row>
    <row r="159" ht="12.75" customHeight="1">
      <c r="A159" s="64"/>
      <c r="J159" s="49"/>
      <c r="K159" s="49"/>
      <c r="L159" s="49"/>
    </row>
    <row r="160" ht="12.75" customHeight="1">
      <c r="A160" s="64"/>
      <c r="J160" s="49"/>
      <c r="K160" s="49"/>
      <c r="L160" s="49"/>
    </row>
    <row r="161" ht="12.75" customHeight="1">
      <c r="A161" s="64"/>
      <c r="J161" s="49"/>
      <c r="K161" s="49"/>
      <c r="L161" s="49"/>
    </row>
    <row r="162" ht="12.75" customHeight="1">
      <c r="A162" s="64"/>
      <c r="J162" s="49"/>
      <c r="K162" s="49"/>
      <c r="L162" s="49"/>
    </row>
    <row r="163" ht="12.75" customHeight="1">
      <c r="A163" s="64"/>
      <c r="J163" s="49"/>
      <c r="K163" s="49"/>
      <c r="L163" s="49"/>
    </row>
    <row r="164" ht="12.75" customHeight="1">
      <c r="A164" s="64"/>
      <c r="J164" s="49"/>
      <c r="K164" s="49"/>
      <c r="L164" s="49"/>
    </row>
    <row r="165" ht="12.75" customHeight="1">
      <c r="A165" s="64"/>
      <c r="J165" s="49"/>
      <c r="K165" s="49"/>
      <c r="L165" s="49"/>
    </row>
    <row r="166" ht="12.75" customHeight="1">
      <c r="A166" s="64"/>
      <c r="J166" s="49"/>
      <c r="K166" s="49"/>
      <c r="L166" s="49"/>
    </row>
    <row r="167" ht="12.75" customHeight="1">
      <c r="A167" s="64"/>
      <c r="J167" s="49"/>
      <c r="K167" s="49"/>
      <c r="L167" s="49"/>
    </row>
    <row r="168" ht="12.75" customHeight="1">
      <c r="A168" s="64"/>
      <c r="J168" s="49"/>
      <c r="K168" s="49"/>
      <c r="L168" s="49"/>
    </row>
    <row r="169" ht="12.75" customHeight="1">
      <c r="A169" s="64"/>
      <c r="J169" s="49"/>
      <c r="K169" s="49"/>
      <c r="L169" s="49"/>
    </row>
    <row r="170" ht="12.75" customHeight="1">
      <c r="A170" s="64"/>
      <c r="J170" s="49"/>
      <c r="K170" s="49"/>
      <c r="L170" s="49"/>
    </row>
    <row r="171" ht="12.75" customHeight="1">
      <c r="A171" s="64"/>
      <c r="J171" s="49"/>
      <c r="K171" s="49"/>
      <c r="L171" s="49"/>
    </row>
    <row r="172" ht="12.75" customHeight="1">
      <c r="A172" s="64"/>
      <c r="J172" s="49"/>
      <c r="K172" s="49"/>
      <c r="L172" s="49"/>
    </row>
    <row r="173" ht="12.75" customHeight="1">
      <c r="A173" s="64"/>
      <c r="J173" s="49"/>
      <c r="K173" s="49"/>
      <c r="L173" s="49"/>
    </row>
    <row r="174" ht="12.75" customHeight="1">
      <c r="A174" s="64"/>
      <c r="J174" s="49"/>
      <c r="K174" s="49"/>
      <c r="L174" s="49"/>
    </row>
    <row r="175" ht="12.75" customHeight="1">
      <c r="A175" s="64"/>
      <c r="J175" s="49"/>
      <c r="K175" s="49"/>
      <c r="L175" s="49"/>
    </row>
    <row r="176" ht="12.75" customHeight="1">
      <c r="A176" s="64"/>
      <c r="J176" s="49"/>
      <c r="K176" s="49"/>
      <c r="L176" s="49"/>
    </row>
    <row r="177" ht="12.75" customHeight="1">
      <c r="A177" s="64"/>
      <c r="J177" s="49"/>
      <c r="K177" s="49"/>
      <c r="L177" s="49"/>
    </row>
    <row r="178" ht="12.75" customHeight="1">
      <c r="A178" s="64"/>
      <c r="J178" s="49"/>
      <c r="K178" s="49"/>
      <c r="L178" s="49"/>
    </row>
    <row r="179" ht="12.75" customHeight="1">
      <c r="A179" s="64"/>
      <c r="J179" s="49"/>
      <c r="K179" s="49"/>
      <c r="L179" s="49"/>
    </row>
    <row r="180" ht="12.75" customHeight="1">
      <c r="A180" s="64"/>
      <c r="J180" s="49"/>
      <c r="K180" s="49"/>
      <c r="L180" s="49"/>
    </row>
    <row r="181" ht="12.75" customHeight="1">
      <c r="A181" s="64"/>
      <c r="J181" s="49"/>
      <c r="K181" s="49"/>
      <c r="L181" s="49"/>
    </row>
    <row r="182" ht="12.75" customHeight="1">
      <c r="A182" s="64"/>
      <c r="J182" s="49"/>
      <c r="K182" s="49"/>
      <c r="L182" s="49"/>
    </row>
    <row r="183" ht="12.75" customHeight="1">
      <c r="A183" s="64"/>
      <c r="J183" s="49"/>
      <c r="K183" s="49"/>
      <c r="L183" s="49"/>
    </row>
    <row r="184" ht="12.75" customHeight="1">
      <c r="A184" s="64"/>
      <c r="J184" s="49"/>
      <c r="K184" s="49"/>
      <c r="L184" s="49"/>
    </row>
    <row r="185" ht="12.75" customHeight="1">
      <c r="A185" s="64"/>
      <c r="J185" s="49"/>
      <c r="K185" s="49"/>
      <c r="L185" s="49"/>
    </row>
    <row r="186" ht="12.75" customHeight="1">
      <c r="A186" s="64"/>
      <c r="J186" s="49"/>
      <c r="K186" s="49"/>
      <c r="L186" s="49"/>
    </row>
    <row r="187" ht="12.75" customHeight="1">
      <c r="A187" s="64"/>
      <c r="J187" s="49"/>
      <c r="K187" s="49"/>
      <c r="L187" s="49"/>
    </row>
    <row r="188" ht="12.75" customHeight="1">
      <c r="A188" s="64"/>
      <c r="J188" s="49"/>
      <c r="K188" s="49"/>
      <c r="L188" s="49"/>
    </row>
    <row r="189" ht="12.75" customHeight="1">
      <c r="A189" s="64"/>
      <c r="J189" s="49"/>
      <c r="K189" s="49"/>
      <c r="L189" s="49"/>
    </row>
    <row r="190" ht="12.75" customHeight="1">
      <c r="A190" s="64"/>
      <c r="J190" s="49"/>
      <c r="K190" s="49"/>
      <c r="L190" s="49"/>
    </row>
    <row r="191" ht="12.75" customHeight="1">
      <c r="A191" s="64"/>
      <c r="J191" s="49"/>
      <c r="K191" s="49"/>
      <c r="L191" s="49"/>
    </row>
    <row r="192" ht="12.75" customHeight="1">
      <c r="A192" s="64"/>
      <c r="J192" s="49"/>
      <c r="K192" s="49"/>
      <c r="L192" s="49"/>
    </row>
    <row r="193" ht="12.75" customHeight="1">
      <c r="A193" s="64"/>
      <c r="J193" s="49"/>
      <c r="K193" s="49"/>
      <c r="L193" s="49"/>
    </row>
    <row r="194" ht="12.75" customHeight="1">
      <c r="A194" s="64"/>
      <c r="J194" s="49"/>
      <c r="K194" s="49"/>
      <c r="L194" s="49"/>
    </row>
    <row r="195" ht="12.75" customHeight="1">
      <c r="A195" s="64"/>
      <c r="J195" s="49"/>
      <c r="K195" s="49"/>
      <c r="L195" s="49"/>
    </row>
    <row r="196" ht="12.75" customHeight="1">
      <c r="A196" s="64"/>
      <c r="J196" s="49"/>
      <c r="K196" s="49"/>
      <c r="L196" s="49"/>
    </row>
    <row r="197" ht="12.75" customHeight="1">
      <c r="A197" s="64"/>
      <c r="J197" s="49"/>
      <c r="K197" s="49"/>
      <c r="L197" s="49"/>
    </row>
    <row r="198" ht="12.75" customHeight="1">
      <c r="A198" s="64"/>
      <c r="J198" s="49"/>
      <c r="K198" s="49"/>
      <c r="L198" s="49"/>
    </row>
    <row r="199" ht="12.75" customHeight="1">
      <c r="A199" s="64"/>
      <c r="J199" s="49"/>
      <c r="K199" s="49"/>
      <c r="L199" s="49"/>
    </row>
    <row r="200" ht="12.75" customHeight="1">
      <c r="A200" s="64"/>
      <c r="J200" s="49"/>
      <c r="K200" s="49"/>
      <c r="L200" s="49"/>
    </row>
    <row r="201" ht="12.75" customHeight="1">
      <c r="A201" s="64"/>
      <c r="J201" s="49"/>
      <c r="K201" s="49"/>
      <c r="L201" s="49"/>
    </row>
    <row r="202" ht="12.75" customHeight="1">
      <c r="A202" s="64"/>
      <c r="J202" s="49"/>
      <c r="K202" s="49"/>
      <c r="L202" s="49"/>
    </row>
    <row r="203" ht="12.75" customHeight="1">
      <c r="A203" s="64"/>
      <c r="J203" s="49"/>
      <c r="K203" s="49"/>
      <c r="L203" s="49"/>
    </row>
    <row r="204" ht="12.75" customHeight="1">
      <c r="A204" s="64"/>
      <c r="J204" s="49"/>
      <c r="K204" s="49"/>
      <c r="L204" s="49"/>
    </row>
    <row r="205" ht="12.75" customHeight="1">
      <c r="A205" s="64"/>
      <c r="J205" s="49"/>
      <c r="K205" s="49"/>
      <c r="L205" s="49"/>
    </row>
    <row r="206" ht="12.75" customHeight="1">
      <c r="A206" s="64"/>
      <c r="J206" s="49"/>
      <c r="K206" s="49"/>
      <c r="L206" s="49"/>
    </row>
    <row r="207" ht="12.75" customHeight="1">
      <c r="A207" s="64"/>
      <c r="J207" s="49"/>
      <c r="K207" s="49"/>
      <c r="L207" s="49"/>
    </row>
    <row r="208" ht="12.75" customHeight="1">
      <c r="A208" s="64"/>
      <c r="J208" s="49"/>
      <c r="K208" s="49"/>
      <c r="L208" s="49"/>
    </row>
    <row r="209" ht="12.75" customHeight="1">
      <c r="A209" s="64"/>
      <c r="J209" s="49"/>
      <c r="K209" s="49"/>
      <c r="L209" s="49"/>
    </row>
    <row r="210" ht="12.75" customHeight="1">
      <c r="A210" s="64"/>
      <c r="J210" s="49"/>
      <c r="K210" s="49"/>
      <c r="L210" s="49"/>
    </row>
    <row r="211" ht="12.75" customHeight="1">
      <c r="A211" s="64"/>
      <c r="J211" s="49"/>
      <c r="K211" s="49"/>
      <c r="L211" s="49"/>
    </row>
    <row r="212" ht="12.75" customHeight="1">
      <c r="A212" s="64"/>
      <c r="J212" s="49"/>
      <c r="K212" s="49"/>
      <c r="L212" s="49"/>
    </row>
    <row r="213" ht="12.75" customHeight="1">
      <c r="A213" s="64"/>
      <c r="J213" s="49"/>
      <c r="K213" s="49"/>
      <c r="L213" s="49"/>
    </row>
    <row r="214" ht="12.75" customHeight="1">
      <c r="A214" s="64"/>
      <c r="J214" s="49"/>
      <c r="K214" s="49"/>
      <c r="L214" s="49"/>
    </row>
    <row r="215" ht="12.75" customHeight="1">
      <c r="A215" s="64"/>
      <c r="J215" s="49"/>
      <c r="K215" s="49"/>
      <c r="L215" s="49"/>
    </row>
    <row r="216" ht="12.75" customHeight="1">
      <c r="A216" s="64"/>
      <c r="J216" s="49"/>
      <c r="K216" s="49"/>
      <c r="L216" s="49"/>
    </row>
    <row r="217" ht="12.75" customHeight="1">
      <c r="A217" s="64"/>
      <c r="J217" s="49"/>
      <c r="K217" s="49"/>
      <c r="L217" s="49"/>
    </row>
    <row r="218" ht="12.75" customHeight="1">
      <c r="A218" s="64"/>
      <c r="J218" s="49"/>
      <c r="K218" s="49"/>
      <c r="L218" s="49"/>
    </row>
    <row r="219" ht="12.75" customHeight="1">
      <c r="A219" s="64"/>
      <c r="J219" s="49"/>
      <c r="K219" s="49"/>
      <c r="L219" s="49"/>
    </row>
    <row r="220" ht="12.75" customHeight="1">
      <c r="A220" s="64"/>
      <c r="J220" s="49"/>
      <c r="K220" s="49"/>
      <c r="L220" s="49"/>
    </row>
    <row r="221" ht="12.75" customHeight="1">
      <c r="A221" s="64"/>
      <c r="J221" s="49"/>
      <c r="K221" s="49"/>
      <c r="L221" s="49"/>
    </row>
    <row r="222" ht="12.75" customHeight="1">
      <c r="A222" s="64"/>
      <c r="J222" s="49"/>
      <c r="K222" s="49"/>
      <c r="L222" s="49"/>
    </row>
    <row r="223" ht="12.75" customHeight="1">
      <c r="A223" s="64"/>
      <c r="J223" s="49"/>
      <c r="K223" s="49"/>
      <c r="L223" s="49"/>
    </row>
    <row r="224" ht="12.75" customHeight="1">
      <c r="A224" s="64"/>
      <c r="J224" s="49"/>
      <c r="K224" s="49"/>
      <c r="L224" s="49"/>
    </row>
    <row r="225" ht="12.75" customHeight="1">
      <c r="A225" s="64"/>
      <c r="J225" s="49"/>
      <c r="K225" s="49"/>
      <c r="L225" s="49"/>
    </row>
    <row r="226" ht="12.75" customHeight="1">
      <c r="A226" s="64"/>
      <c r="J226" s="49"/>
      <c r="K226" s="49"/>
      <c r="L226" s="49"/>
    </row>
    <row r="227" ht="12.75" customHeight="1">
      <c r="A227" s="64"/>
      <c r="J227" s="49"/>
      <c r="K227" s="49"/>
      <c r="L227" s="49"/>
    </row>
    <row r="228" ht="12.75" customHeight="1">
      <c r="A228" s="64"/>
      <c r="J228" s="49"/>
      <c r="K228" s="49"/>
      <c r="L228" s="49"/>
    </row>
    <row r="229" ht="12.75" customHeight="1">
      <c r="A229" s="64"/>
      <c r="J229" s="49"/>
      <c r="K229" s="49"/>
      <c r="L229" s="49"/>
    </row>
    <row r="230" ht="12.75" customHeight="1">
      <c r="A230" s="64"/>
      <c r="J230" s="49"/>
      <c r="K230" s="49"/>
      <c r="L230" s="49"/>
    </row>
    <row r="231" ht="12.75" customHeight="1">
      <c r="A231" s="64"/>
      <c r="J231" s="49"/>
      <c r="K231" s="49"/>
      <c r="L231" s="49"/>
    </row>
    <row r="232" ht="12.75" customHeight="1">
      <c r="A232" s="64"/>
      <c r="J232" s="49"/>
      <c r="K232" s="49"/>
      <c r="L232" s="49"/>
    </row>
    <row r="233" ht="12.75" customHeight="1">
      <c r="A233" s="64"/>
      <c r="J233" s="49"/>
      <c r="K233" s="49"/>
      <c r="L233" s="49"/>
    </row>
    <row r="234" ht="12.75" customHeight="1">
      <c r="A234" s="64"/>
      <c r="J234" s="49"/>
      <c r="K234" s="49"/>
      <c r="L234" s="49"/>
    </row>
    <row r="235" ht="12.75" customHeight="1">
      <c r="A235" s="64"/>
      <c r="J235" s="49"/>
      <c r="K235" s="49"/>
      <c r="L235" s="49"/>
    </row>
    <row r="236" ht="12.75" customHeight="1">
      <c r="A236" s="64"/>
      <c r="J236" s="49"/>
      <c r="K236" s="49"/>
      <c r="L236" s="49"/>
    </row>
    <row r="237" ht="12.75" customHeight="1">
      <c r="A237" s="64"/>
      <c r="J237" s="49"/>
      <c r="K237" s="49"/>
      <c r="L237" s="49"/>
    </row>
    <row r="238" ht="12.75" customHeight="1">
      <c r="A238" s="64"/>
      <c r="J238" s="49"/>
      <c r="K238" s="49"/>
      <c r="L238" s="49"/>
    </row>
    <row r="239" ht="12.75" customHeight="1">
      <c r="A239" s="64"/>
      <c r="J239" s="49"/>
      <c r="K239" s="49"/>
      <c r="L239" s="49"/>
    </row>
    <row r="240" ht="12.75" customHeight="1">
      <c r="A240" s="64"/>
      <c r="J240" s="49"/>
      <c r="K240" s="49"/>
      <c r="L240" s="49"/>
    </row>
    <row r="241" ht="12.75" customHeight="1">
      <c r="A241" s="64"/>
      <c r="J241" s="49"/>
      <c r="K241" s="49"/>
      <c r="L241" s="49"/>
    </row>
    <row r="242" ht="12.75" customHeight="1">
      <c r="A242" s="64"/>
      <c r="J242" s="49"/>
      <c r="K242" s="49"/>
      <c r="L242" s="49"/>
    </row>
    <row r="243" ht="12.75" customHeight="1">
      <c r="A243" s="64"/>
      <c r="J243" s="49"/>
      <c r="K243" s="49"/>
      <c r="L243" s="49"/>
    </row>
    <row r="244" ht="12.75" customHeight="1">
      <c r="A244" s="64"/>
      <c r="J244" s="49"/>
      <c r="K244" s="49"/>
      <c r="L244" s="49"/>
    </row>
    <row r="245" ht="12.75" customHeight="1">
      <c r="A245" s="64"/>
      <c r="J245" s="49"/>
      <c r="K245" s="49"/>
      <c r="L245" s="49"/>
    </row>
    <row r="246" ht="12.75" customHeight="1">
      <c r="A246" s="64"/>
      <c r="J246" s="49"/>
      <c r="K246" s="49"/>
      <c r="L246" s="49"/>
    </row>
    <row r="247" ht="12.75" customHeight="1">
      <c r="A247" s="64"/>
      <c r="J247" s="49"/>
      <c r="K247" s="49"/>
      <c r="L247" s="49"/>
    </row>
    <row r="248" ht="12.75" customHeight="1">
      <c r="A248" s="64"/>
      <c r="J248" s="49"/>
      <c r="K248" s="49"/>
      <c r="L248" s="49"/>
    </row>
    <row r="249" ht="12.75" customHeight="1">
      <c r="A249" s="64"/>
      <c r="J249" s="49"/>
      <c r="K249" s="49"/>
      <c r="L249" s="49"/>
    </row>
    <row r="250" ht="12.75" customHeight="1">
      <c r="A250" s="64"/>
      <c r="J250" s="49"/>
      <c r="K250" s="49"/>
      <c r="L250" s="49"/>
    </row>
    <row r="251" ht="12.75" customHeight="1">
      <c r="A251" s="64"/>
      <c r="J251" s="49"/>
      <c r="K251" s="49"/>
      <c r="L251" s="49"/>
    </row>
    <row r="252" ht="12.75" customHeight="1">
      <c r="A252" s="64"/>
      <c r="J252" s="49"/>
      <c r="K252" s="49"/>
      <c r="L252" s="49"/>
    </row>
    <row r="253" ht="12.75" customHeight="1">
      <c r="A253" s="64"/>
      <c r="J253" s="49"/>
      <c r="K253" s="49"/>
      <c r="L253" s="49"/>
    </row>
    <row r="254" ht="12.75" customHeight="1">
      <c r="A254" s="64"/>
      <c r="J254" s="49"/>
      <c r="K254" s="49"/>
      <c r="L254" s="49"/>
    </row>
    <row r="255" ht="12.75" customHeight="1">
      <c r="A255" s="64"/>
      <c r="J255" s="49"/>
      <c r="K255" s="49"/>
      <c r="L255" s="49"/>
    </row>
    <row r="256" ht="12.75" customHeight="1">
      <c r="A256" s="64"/>
      <c r="J256" s="49"/>
      <c r="K256" s="49"/>
      <c r="L256" s="49"/>
    </row>
    <row r="257" ht="12.75" customHeight="1">
      <c r="A257" s="64"/>
      <c r="J257" s="49"/>
      <c r="K257" s="49"/>
      <c r="L257" s="49"/>
    </row>
    <row r="258" ht="12.75" customHeight="1">
      <c r="A258" s="64"/>
      <c r="J258" s="49"/>
      <c r="K258" s="49"/>
      <c r="L258" s="49"/>
    </row>
    <row r="259" ht="12.75" customHeight="1">
      <c r="A259" s="64"/>
      <c r="J259" s="49"/>
      <c r="K259" s="49"/>
      <c r="L259" s="49"/>
    </row>
    <row r="260" ht="12.75" customHeight="1">
      <c r="A260" s="64"/>
      <c r="J260" s="49"/>
      <c r="K260" s="49"/>
      <c r="L260" s="49"/>
    </row>
    <row r="261" ht="12.75" customHeight="1">
      <c r="A261" s="64"/>
      <c r="J261" s="49"/>
      <c r="K261" s="49"/>
      <c r="L261" s="49"/>
    </row>
    <row r="262" ht="12.75" customHeight="1">
      <c r="A262" s="64"/>
      <c r="J262" s="49"/>
      <c r="K262" s="49"/>
      <c r="L262" s="49"/>
    </row>
    <row r="263" ht="12.75" customHeight="1">
      <c r="A263" s="64"/>
      <c r="J263" s="49"/>
      <c r="K263" s="49"/>
      <c r="L263" s="49"/>
    </row>
    <row r="264" ht="12.75" customHeight="1">
      <c r="A264" s="64"/>
      <c r="J264" s="49"/>
      <c r="K264" s="49"/>
      <c r="L264" s="49"/>
    </row>
    <row r="265" ht="12.75" customHeight="1">
      <c r="A265" s="64"/>
      <c r="J265" s="49"/>
      <c r="K265" s="49"/>
      <c r="L265" s="49"/>
    </row>
    <row r="266" ht="12.75" customHeight="1">
      <c r="A266" s="64"/>
      <c r="J266" s="49"/>
      <c r="K266" s="49"/>
      <c r="L266" s="49"/>
    </row>
    <row r="267" ht="12.75" customHeight="1">
      <c r="A267" s="64"/>
      <c r="J267" s="49"/>
      <c r="K267" s="49"/>
      <c r="L267" s="49"/>
    </row>
    <row r="268" ht="12.75" customHeight="1">
      <c r="A268" s="64"/>
      <c r="J268" s="49"/>
      <c r="K268" s="49"/>
      <c r="L268" s="49"/>
    </row>
    <row r="269" ht="12.75" customHeight="1">
      <c r="A269" s="64"/>
      <c r="J269" s="49"/>
      <c r="K269" s="49"/>
      <c r="L269" s="49"/>
    </row>
    <row r="270" ht="12.75" customHeight="1">
      <c r="A270" s="64"/>
      <c r="J270" s="49"/>
      <c r="K270" s="49"/>
      <c r="L270" s="49"/>
    </row>
    <row r="271" ht="12.75" customHeight="1">
      <c r="A271" s="64"/>
      <c r="J271" s="49"/>
      <c r="K271" s="49"/>
      <c r="L271" s="49"/>
    </row>
    <row r="272" ht="12.75" customHeight="1">
      <c r="A272" s="64"/>
      <c r="J272" s="49"/>
      <c r="K272" s="49"/>
      <c r="L272" s="49"/>
    </row>
    <row r="273" ht="12.75" customHeight="1">
      <c r="A273" s="64"/>
      <c r="J273" s="49"/>
      <c r="K273" s="49"/>
      <c r="L273" s="49"/>
    </row>
    <row r="274" ht="12.75" customHeight="1">
      <c r="A274" s="64"/>
      <c r="J274" s="49"/>
      <c r="K274" s="49"/>
      <c r="L274" s="49"/>
    </row>
    <row r="275" ht="12.75" customHeight="1">
      <c r="A275" s="64"/>
      <c r="J275" s="49"/>
      <c r="K275" s="49"/>
      <c r="L275" s="49"/>
    </row>
    <row r="276" ht="12.75" customHeight="1">
      <c r="A276" s="64"/>
      <c r="J276" s="49"/>
      <c r="K276" s="49"/>
      <c r="L276" s="49"/>
    </row>
    <row r="277" ht="12.75" customHeight="1">
      <c r="A277" s="64"/>
      <c r="J277" s="49"/>
      <c r="K277" s="49"/>
      <c r="L277" s="49"/>
    </row>
    <row r="278" ht="12.75" customHeight="1">
      <c r="A278" s="64"/>
      <c r="J278" s="49"/>
      <c r="K278" s="49"/>
      <c r="L278" s="49"/>
    </row>
    <row r="279" ht="12.75" customHeight="1">
      <c r="A279" s="64"/>
      <c r="J279" s="49"/>
      <c r="K279" s="49"/>
      <c r="L279" s="49"/>
    </row>
    <row r="280" ht="12.75" customHeight="1">
      <c r="A280" s="64"/>
      <c r="J280" s="49"/>
      <c r="K280" s="49"/>
      <c r="L280" s="49"/>
    </row>
    <row r="281" ht="12.75" customHeight="1">
      <c r="A281" s="64"/>
      <c r="J281" s="49"/>
      <c r="K281" s="49"/>
      <c r="L281" s="49"/>
    </row>
    <row r="282" ht="12.75" customHeight="1">
      <c r="A282" s="64"/>
      <c r="J282" s="49"/>
      <c r="K282" s="49"/>
      <c r="L282" s="49"/>
    </row>
    <row r="283" ht="12.75" customHeight="1">
      <c r="A283" s="64"/>
      <c r="J283" s="49"/>
      <c r="K283" s="49"/>
      <c r="L283" s="49"/>
    </row>
    <row r="284" ht="12.75" customHeight="1">
      <c r="A284" s="64"/>
      <c r="J284" s="49"/>
      <c r="K284" s="49"/>
      <c r="L284" s="49"/>
    </row>
    <row r="285" ht="12.75" customHeight="1">
      <c r="A285" s="64"/>
      <c r="J285" s="49"/>
      <c r="K285" s="49"/>
      <c r="L285" s="49"/>
    </row>
    <row r="286" ht="12.75" customHeight="1">
      <c r="A286" s="64"/>
      <c r="J286" s="49"/>
      <c r="K286" s="49"/>
      <c r="L286" s="49"/>
    </row>
    <row r="287" ht="12.75" customHeight="1">
      <c r="A287" s="64"/>
      <c r="J287" s="49"/>
      <c r="K287" s="49"/>
      <c r="L287" s="49"/>
    </row>
    <row r="288" ht="12.75" customHeight="1">
      <c r="A288" s="64"/>
      <c r="J288" s="49"/>
      <c r="K288" s="49"/>
      <c r="L288" s="49"/>
    </row>
    <row r="289" ht="12.75" customHeight="1">
      <c r="A289" s="64"/>
      <c r="J289" s="49"/>
      <c r="K289" s="49"/>
      <c r="L289" s="49"/>
    </row>
    <row r="290" ht="12.75" customHeight="1">
      <c r="A290" s="64"/>
      <c r="J290" s="49"/>
      <c r="K290" s="49"/>
      <c r="L290" s="49"/>
    </row>
    <row r="291" ht="12.75" customHeight="1">
      <c r="A291" s="64"/>
      <c r="J291" s="49"/>
      <c r="K291" s="49"/>
      <c r="L291" s="49"/>
    </row>
    <row r="292" ht="12.75" customHeight="1">
      <c r="A292" s="64"/>
      <c r="J292" s="49"/>
      <c r="K292" s="49"/>
      <c r="L292" s="49"/>
    </row>
    <row r="293" ht="12.75" customHeight="1">
      <c r="A293" s="64"/>
      <c r="J293" s="49"/>
      <c r="K293" s="49"/>
      <c r="L293" s="49"/>
    </row>
    <row r="294" ht="12.75" customHeight="1">
      <c r="A294" s="64"/>
      <c r="J294" s="49"/>
      <c r="K294" s="49"/>
      <c r="L294" s="49"/>
    </row>
    <row r="295" ht="12.75" customHeight="1">
      <c r="A295" s="64"/>
      <c r="J295" s="49"/>
      <c r="K295" s="49"/>
      <c r="L295" s="49"/>
    </row>
    <row r="296" ht="12.75" customHeight="1">
      <c r="A296" s="64"/>
      <c r="J296" s="49"/>
      <c r="K296" s="49"/>
      <c r="L296" s="49"/>
    </row>
    <row r="297" ht="12.75" customHeight="1">
      <c r="A297" s="64"/>
      <c r="J297" s="49"/>
      <c r="K297" s="49"/>
      <c r="L297" s="49"/>
    </row>
    <row r="298" ht="12.75" customHeight="1">
      <c r="A298" s="64"/>
      <c r="J298" s="49"/>
      <c r="K298" s="49"/>
      <c r="L298" s="49"/>
    </row>
    <row r="299" ht="12.75" customHeight="1">
      <c r="A299" s="64"/>
      <c r="J299" s="49"/>
      <c r="K299" s="49"/>
      <c r="L299" s="49"/>
    </row>
    <row r="300" ht="12.75" customHeight="1">
      <c r="A300" s="64"/>
      <c r="J300" s="49"/>
      <c r="K300" s="49"/>
      <c r="L300" s="49"/>
    </row>
    <row r="301" ht="12.75" customHeight="1">
      <c r="A301" s="64"/>
      <c r="J301" s="49"/>
      <c r="K301" s="49"/>
      <c r="L301" s="49"/>
    </row>
    <row r="302" ht="12.75" customHeight="1">
      <c r="A302" s="64"/>
      <c r="J302" s="49"/>
      <c r="K302" s="49"/>
      <c r="L302" s="49"/>
    </row>
    <row r="303" ht="12.75" customHeight="1">
      <c r="A303" s="64"/>
      <c r="J303" s="49"/>
      <c r="K303" s="49"/>
      <c r="L303" s="49"/>
    </row>
    <row r="304" ht="12.75" customHeight="1">
      <c r="A304" s="64"/>
      <c r="J304" s="49"/>
      <c r="K304" s="49"/>
      <c r="L304" s="49"/>
    </row>
    <row r="305" ht="12.75" customHeight="1">
      <c r="A305" s="64"/>
      <c r="J305" s="49"/>
      <c r="K305" s="49"/>
      <c r="L305" s="49"/>
    </row>
    <row r="306" ht="12.75" customHeight="1">
      <c r="A306" s="64"/>
      <c r="J306" s="49"/>
      <c r="K306" s="49"/>
      <c r="L306" s="49"/>
    </row>
    <row r="307" ht="12.75" customHeight="1">
      <c r="A307" s="64"/>
      <c r="J307" s="49"/>
      <c r="K307" s="49"/>
      <c r="L307" s="49"/>
    </row>
    <row r="308" ht="12.75" customHeight="1">
      <c r="A308" s="64"/>
      <c r="J308" s="49"/>
      <c r="K308" s="49"/>
      <c r="L308" s="49"/>
    </row>
    <row r="309" ht="12.75" customHeight="1">
      <c r="A309" s="64"/>
      <c r="J309" s="49"/>
      <c r="K309" s="49"/>
      <c r="L309" s="49"/>
    </row>
    <row r="310" ht="12.75" customHeight="1">
      <c r="A310" s="64"/>
      <c r="J310" s="49"/>
      <c r="K310" s="49"/>
      <c r="L310" s="49"/>
    </row>
    <row r="311" ht="12.75" customHeight="1">
      <c r="A311" s="64"/>
      <c r="J311" s="49"/>
      <c r="K311" s="49"/>
      <c r="L311" s="49"/>
    </row>
    <row r="312" ht="12.75" customHeight="1">
      <c r="A312" s="64"/>
      <c r="J312" s="49"/>
      <c r="K312" s="49"/>
      <c r="L312" s="49"/>
    </row>
    <row r="313" ht="12.75" customHeight="1">
      <c r="A313" s="64"/>
      <c r="J313" s="49"/>
      <c r="K313" s="49"/>
      <c r="L313" s="49"/>
    </row>
    <row r="314" ht="12.75" customHeight="1">
      <c r="A314" s="64"/>
      <c r="J314" s="49"/>
      <c r="K314" s="49"/>
      <c r="L314" s="49"/>
    </row>
    <row r="315" ht="12.75" customHeight="1">
      <c r="A315" s="64"/>
      <c r="J315" s="49"/>
      <c r="K315" s="49"/>
      <c r="L315" s="49"/>
    </row>
    <row r="316" ht="12.75" customHeight="1">
      <c r="A316" s="64"/>
      <c r="J316" s="49"/>
      <c r="K316" s="49"/>
      <c r="L316" s="49"/>
    </row>
    <row r="317" ht="12.75" customHeight="1">
      <c r="A317" s="64"/>
      <c r="J317" s="49"/>
      <c r="K317" s="49"/>
      <c r="L317" s="49"/>
    </row>
    <row r="318" ht="12.75" customHeight="1">
      <c r="A318" s="64"/>
      <c r="J318" s="49"/>
      <c r="K318" s="49"/>
      <c r="L318" s="49"/>
    </row>
    <row r="319" ht="12.75" customHeight="1">
      <c r="A319" s="64"/>
      <c r="J319" s="49"/>
      <c r="K319" s="49"/>
      <c r="L319" s="49"/>
    </row>
    <row r="320" ht="12.75" customHeight="1">
      <c r="A320" s="64"/>
      <c r="J320" s="49"/>
      <c r="K320" s="49"/>
      <c r="L320" s="49"/>
    </row>
    <row r="321" ht="12.75" customHeight="1">
      <c r="A321" s="64"/>
      <c r="J321" s="49"/>
      <c r="K321" s="49"/>
      <c r="L321" s="49"/>
    </row>
    <row r="322" ht="12.75" customHeight="1">
      <c r="A322" s="64"/>
      <c r="J322" s="49"/>
      <c r="K322" s="49"/>
      <c r="L322" s="49"/>
    </row>
    <row r="323" ht="12.75" customHeight="1">
      <c r="A323" s="64"/>
      <c r="J323" s="49"/>
      <c r="K323" s="49"/>
      <c r="L323" s="49"/>
    </row>
    <row r="324" ht="12.75" customHeight="1">
      <c r="A324" s="64"/>
      <c r="J324" s="49"/>
      <c r="K324" s="49"/>
      <c r="L324" s="49"/>
    </row>
    <row r="325" ht="12.75" customHeight="1">
      <c r="A325" s="64"/>
      <c r="J325" s="49"/>
      <c r="K325" s="49"/>
      <c r="L325" s="49"/>
    </row>
    <row r="326" ht="12.75" customHeight="1">
      <c r="A326" s="64"/>
      <c r="J326" s="49"/>
      <c r="K326" s="49"/>
      <c r="L326" s="49"/>
    </row>
    <row r="327" ht="12.75" customHeight="1">
      <c r="A327" s="64"/>
      <c r="J327" s="49"/>
      <c r="K327" s="49"/>
      <c r="L327" s="49"/>
    </row>
    <row r="328" ht="12.75" customHeight="1">
      <c r="A328" s="64"/>
      <c r="J328" s="49"/>
      <c r="K328" s="49"/>
      <c r="L328" s="49"/>
    </row>
    <row r="329" ht="12.75" customHeight="1">
      <c r="A329" s="64"/>
      <c r="J329" s="49"/>
      <c r="K329" s="49"/>
      <c r="L329" s="49"/>
    </row>
    <row r="330" ht="12.75" customHeight="1">
      <c r="A330" s="64"/>
      <c r="J330" s="49"/>
      <c r="K330" s="49"/>
      <c r="L330" s="49"/>
    </row>
    <row r="331" ht="12.75" customHeight="1">
      <c r="A331" s="64"/>
      <c r="J331" s="49"/>
      <c r="K331" s="49"/>
      <c r="L331" s="49"/>
    </row>
    <row r="332" ht="12.75" customHeight="1">
      <c r="A332" s="64"/>
      <c r="J332" s="49"/>
      <c r="K332" s="49"/>
      <c r="L332" s="49"/>
    </row>
    <row r="333" ht="12.75" customHeight="1">
      <c r="A333" s="64"/>
      <c r="J333" s="49"/>
      <c r="K333" s="49"/>
      <c r="L333" s="49"/>
    </row>
    <row r="334" ht="12.75" customHeight="1">
      <c r="A334" s="64"/>
      <c r="J334" s="49"/>
      <c r="K334" s="49"/>
      <c r="L334" s="49"/>
    </row>
    <row r="335" ht="12.75" customHeight="1">
      <c r="A335" s="64"/>
      <c r="J335" s="49"/>
      <c r="K335" s="49"/>
      <c r="L335" s="49"/>
    </row>
    <row r="336" ht="12.75" customHeight="1">
      <c r="A336" s="64"/>
      <c r="J336" s="49"/>
      <c r="K336" s="49"/>
      <c r="L336" s="49"/>
    </row>
    <row r="337" ht="12.75" customHeight="1">
      <c r="A337" s="64"/>
      <c r="J337" s="49"/>
      <c r="K337" s="49"/>
      <c r="L337" s="49"/>
    </row>
    <row r="338" ht="12.75" customHeight="1">
      <c r="A338" s="64"/>
      <c r="J338" s="49"/>
      <c r="K338" s="49"/>
      <c r="L338" s="49"/>
    </row>
    <row r="339" ht="12.75" customHeight="1">
      <c r="A339" s="64"/>
      <c r="J339" s="49"/>
      <c r="K339" s="49"/>
      <c r="L339" s="49"/>
    </row>
    <row r="340" ht="12.75" customHeight="1">
      <c r="A340" s="64"/>
      <c r="J340" s="49"/>
      <c r="K340" s="49"/>
      <c r="L340" s="49"/>
    </row>
    <row r="341" ht="12.75" customHeight="1">
      <c r="A341" s="64"/>
      <c r="J341" s="49"/>
      <c r="K341" s="49"/>
      <c r="L341" s="49"/>
    </row>
    <row r="342" ht="12.75" customHeight="1">
      <c r="A342" s="64"/>
      <c r="J342" s="49"/>
      <c r="K342" s="49"/>
      <c r="L342" s="49"/>
    </row>
    <row r="343" ht="12.75" customHeight="1">
      <c r="A343" s="64"/>
      <c r="J343" s="49"/>
      <c r="K343" s="49"/>
      <c r="L343" s="49"/>
    </row>
    <row r="344" ht="12.75" customHeight="1">
      <c r="A344" s="64"/>
      <c r="J344" s="49"/>
      <c r="K344" s="49"/>
      <c r="L344" s="49"/>
    </row>
    <row r="345" ht="12.75" customHeight="1">
      <c r="A345" s="64"/>
      <c r="J345" s="49"/>
      <c r="K345" s="49"/>
      <c r="L345" s="49"/>
    </row>
    <row r="346" ht="12.75" customHeight="1">
      <c r="A346" s="64"/>
      <c r="J346" s="49"/>
      <c r="K346" s="49"/>
      <c r="L346" s="49"/>
    </row>
    <row r="347" ht="12.75" customHeight="1">
      <c r="A347" s="64"/>
      <c r="J347" s="49"/>
      <c r="K347" s="49"/>
      <c r="L347" s="49"/>
    </row>
    <row r="348" ht="12.75" customHeight="1">
      <c r="A348" s="64"/>
      <c r="J348" s="49"/>
      <c r="K348" s="49"/>
      <c r="L348" s="49"/>
    </row>
    <row r="349" ht="12.75" customHeight="1">
      <c r="A349" s="64"/>
      <c r="J349" s="49"/>
      <c r="K349" s="49"/>
      <c r="L349" s="49"/>
    </row>
    <row r="350" ht="12.75" customHeight="1">
      <c r="A350" s="64"/>
      <c r="J350" s="49"/>
      <c r="K350" s="49"/>
      <c r="L350" s="49"/>
    </row>
    <row r="351" ht="12.75" customHeight="1">
      <c r="A351" s="64"/>
      <c r="J351" s="49"/>
      <c r="K351" s="49"/>
      <c r="L351" s="49"/>
    </row>
    <row r="352" ht="12.75" customHeight="1">
      <c r="A352" s="64"/>
      <c r="J352" s="49"/>
      <c r="K352" s="49"/>
      <c r="L352" s="49"/>
    </row>
    <row r="353" ht="12.75" customHeight="1">
      <c r="A353" s="64"/>
      <c r="J353" s="49"/>
      <c r="K353" s="49"/>
      <c r="L353" s="49"/>
    </row>
    <row r="354" ht="12.75" customHeight="1">
      <c r="A354" s="64"/>
      <c r="J354" s="49"/>
      <c r="K354" s="49"/>
      <c r="L354" s="49"/>
    </row>
    <row r="355" ht="12.75" customHeight="1">
      <c r="A355" s="64"/>
      <c r="J355" s="49"/>
      <c r="K355" s="49"/>
      <c r="L355" s="49"/>
    </row>
    <row r="356" ht="12.75" customHeight="1">
      <c r="A356" s="64"/>
      <c r="J356" s="49"/>
      <c r="K356" s="49"/>
      <c r="L356" s="49"/>
    </row>
    <row r="357" ht="12.75" customHeight="1">
      <c r="A357" s="64"/>
      <c r="J357" s="49"/>
      <c r="K357" s="49"/>
      <c r="L357" s="49"/>
    </row>
    <row r="358" ht="12.75" customHeight="1">
      <c r="A358" s="64"/>
      <c r="J358" s="49"/>
      <c r="K358" s="49"/>
      <c r="L358" s="49"/>
    </row>
    <row r="359" ht="12.75" customHeight="1">
      <c r="A359" s="64"/>
      <c r="J359" s="49"/>
      <c r="K359" s="49"/>
      <c r="L359" s="49"/>
    </row>
    <row r="360" ht="12.75" customHeight="1">
      <c r="A360" s="64"/>
      <c r="J360" s="49"/>
      <c r="K360" s="49"/>
      <c r="L360" s="49"/>
    </row>
    <row r="361" ht="12.75" customHeight="1">
      <c r="A361" s="64"/>
      <c r="J361" s="49"/>
      <c r="K361" s="49"/>
      <c r="L361" s="49"/>
    </row>
    <row r="362" ht="12.75" customHeight="1">
      <c r="A362" s="64"/>
      <c r="J362" s="49"/>
      <c r="K362" s="49"/>
      <c r="L362" s="49"/>
    </row>
    <row r="363" ht="12.75" customHeight="1">
      <c r="A363" s="64"/>
      <c r="J363" s="49"/>
      <c r="K363" s="49"/>
      <c r="L363" s="49"/>
    </row>
    <row r="364" ht="12.75" customHeight="1">
      <c r="A364" s="64"/>
      <c r="J364" s="49"/>
      <c r="K364" s="49"/>
      <c r="L364" s="49"/>
    </row>
    <row r="365" ht="12.75" customHeight="1">
      <c r="A365" s="64"/>
      <c r="J365" s="49"/>
      <c r="K365" s="49"/>
      <c r="L365" s="49"/>
    </row>
    <row r="366" ht="12.75" customHeight="1">
      <c r="A366" s="64"/>
      <c r="J366" s="49"/>
      <c r="K366" s="49"/>
      <c r="L366" s="49"/>
    </row>
    <row r="367" ht="12.75" customHeight="1">
      <c r="A367" s="64"/>
      <c r="J367" s="49"/>
      <c r="K367" s="49"/>
      <c r="L367" s="49"/>
    </row>
    <row r="368" ht="12.75" customHeight="1">
      <c r="A368" s="64"/>
      <c r="J368" s="49"/>
      <c r="K368" s="49"/>
      <c r="L368" s="49"/>
    </row>
    <row r="369" ht="12.75" customHeight="1">
      <c r="A369" s="64"/>
      <c r="J369" s="49"/>
      <c r="K369" s="49"/>
      <c r="L369" s="49"/>
    </row>
    <row r="370" ht="12.75" customHeight="1">
      <c r="A370" s="64"/>
      <c r="J370" s="49"/>
      <c r="K370" s="49"/>
      <c r="L370" s="49"/>
    </row>
    <row r="371" ht="12.75" customHeight="1">
      <c r="A371" s="64"/>
      <c r="J371" s="49"/>
      <c r="K371" s="49"/>
      <c r="L371" s="49"/>
    </row>
    <row r="372" ht="12.75" customHeight="1">
      <c r="A372" s="64"/>
      <c r="J372" s="49"/>
      <c r="K372" s="49"/>
      <c r="L372" s="49"/>
    </row>
    <row r="373" ht="12.75" customHeight="1">
      <c r="A373" s="64"/>
      <c r="J373" s="49"/>
      <c r="K373" s="49"/>
      <c r="L373" s="49"/>
    </row>
    <row r="374" ht="12.75" customHeight="1">
      <c r="A374" s="64"/>
      <c r="J374" s="49"/>
      <c r="K374" s="49"/>
      <c r="L374" s="49"/>
    </row>
    <row r="375" ht="12.75" customHeight="1">
      <c r="A375" s="64"/>
      <c r="J375" s="49"/>
      <c r="K375" s="49"/>
      <c r="L375" s="49"/>
    </row>
    <row r="376" ht="12.75" customHeight="1">
      <c r="A376" s="64"/>
      <c r="J376" s="49"/>
      <c r="K376" s="49"/>
      <c r="L376" s="49"/>
    </row>
    <row r="377" ht="12.75" customHeight="1">
      <c r="A377" s="64"/>
      <c r="J377" s="49"/>
      <c r="K377" s="49"/>
      <c r="L377" s="49"/>
    </row>
    <row r="378" ht="12.75" customHeight="1">
      <c r="A378" s="64"/>
      <c r="J378" s="49"/>
      <c r="K378" s="49"/>
      <c r="L378" s="49"/>
    </row>
    <row r="379" ht="12.75" customHeight="1">
      <c r="A379" s="64"/>
      <c r="J379" s="49"/>
      <c r="K379" s="49"/>
      <c r="L379" s="49"/>
    </row>
    <row r="380" ht="12.75" customHeight="1">
      <c r="A380" s="64"/>
      <c r="J380" s="49"/>
      <c r="K380" s="49"/>
      <c r="L380" s="49"/>
    </row>
    <row r="381" ht="12.75" customHeight="1">
      <c r="A381" s="64"/>
      <c r="J381" s="49"/>
      <c r="K381" s="49"/>
      <c r="L381" s="49"/>
    </row>
    <row r="382" ht="12.75" customHeight="1">
      <c r="A382" s="64"/>
      <c r="J382" s="49"/>
      <c r="K382" s="49"/>
      <c r="L382" s="49"/>
    </row>
    <row r="383" ht="12.75" customHeight="1">
      <c r="A383" s="64"/>
      <c r="J383" s="49"/>
      <c r="K383" s="49"/>
      <c r="L383" s="49"/>
    </row>
    <row r="384" ht="12.75" customHeight="1">
      <c r="A384" s="64"/>
      <c r="J384" s="49"/>
      <c r="K384" s="49"/>
      <c r="L384" s="49"/>
    </row>
    <row r="385" ht="12.75" customHeight="1">
      <c r="A385" s="64"/>
      <c r="J385" s="49"/>
      <c r="K385" s="49"/>
      <c r="L385" s="49"/>
    </row>
    <row r="386" ht="12.75" customHeight="1">
      <c r="A386" s="64"/>
      <c r="J386" s="49"/>
      <c r="K386" s="49"/>
      <c r="L386" s="49"/>
    </row>
    <row r="387" ht="12.75" customHeight="1">
      <c r="A387" s="64"/>
      <c r="J387" s="49"/>
      <c r="K387" s="49"/>
      <c r="L387" s="49"/>
    </row>
    <row r="388" ht="12.75" customHeight="1">
      <c r="A388" s="64"/>
      <c r="J388" s="49"/>
      <c r="K388" s="49"/>
      <c r="L388" s="49"/>
    </row>
    <row r="389" ht="12.75" customHeight="1">
      <c r="A389" s="64"/>
      <c r="J389" s="49"/>
      <c r="K389" s="49"/>
      <c r="L389" s="49"/>
    </row>
    <row r="390" ht="12.75" customHeight="1">
      <c r="A390" s="64"/>
      <c r="J390" s="49"/>
      <c r="K390" s="49"/>
      <c r="L390" s="49"/>
    </row>
    <row r="391" ht="12.75" customHeight="1">
      <c r="A391" s="64"/>
      <c r="J391" s="49"/>
      <c r="K391" s="49"/>
      <c r="L391" s="49"/>
    </row>
    <row r="392" ht="12.75" customHeight="1">
      <c r="A392" s="64"/>
      <c r="J392" s="49"/>
      <c r="K392" s="49"/>
      <c r="L392" s="49"/>
    </row>
    <row r="393" ht="12.75" customHeight="1">
      <c r="A393" s="64"/>
      <c r="J393" s="49"/>
      <c r="K393" s="49"/>
      <c r="L393" s="49"/>
    </row>
    <row r="394" ht="12.75" customHeight="1">
      <c r="A394" s="64"/>
      <c r="J394" s="49"/>
      <c r="K394" s="49"/>
      <c r="L394" s="49"/>
    </row>
    <row r="395" ht="12.75" customHeight="1">
      <c r="A395" s="64"/>
      <c r="J395" s="49"/>
      <c r="K395" s="49"/>
      <c r="L395" s="49"/>
    </row>
    <row r="396" ht="12.75" customHeight="1">
      <c r="A396" s="64"/>
      <c r="J396" s="49"/>
      <c r="K396" s="49"/>
      <c r="L396" s="49"/>
    </row>
    <row r="397" ht="12.75" customHeight="1">
      <c r="A397" s="64"/>
      <c r="J397" s="49"/>
      <c r="K397" s="49"/>
      <c r="L397" s="49"/>
    </row>
    <row r="398" ht="12.75" customHeight="1">
      <c r="A398" s="64"/>
      <c r="J398" s="49"/>
      <c r="K398" s="49"/>
      <c r="L398" s="49"/>
    </row>
    <row r="399" ht="12.75" customHeight="1">
      <c r="A399" s="64"/>
      <c r="J399" s="49"/>
      <c r="K399" s="49"/>
      <c r="L399" s="49"/>
    </row>
    <row r="400" ht="12.75" customHeight="1">
      <c r="A400" s="64"/>
      <c r="J400" s="49"/>
      <c r="K400" s="49"/>
      <c r="L400" s="49"/>
    </row>
    <row r="401" ht="12.75" customHeight="1">
      <c r="A401" s="64"/>
      <c r="J401" s="49"/>
      <c r="K401" s="49"/>
      <c r="L401" s="49"/>
    </row>
    <row r="402" ht="12.75" customHeight="1">
      <c r="A402" s="64"/>
      <c r="J402" s="49"/>
      <c r="K402" s="49"/>
      <c r="L402" s="49"/>
    </row>
    <row r="403" ht="12.75" customHeight="1">
      <c r="A403" s="64"/>
      <c r="J403" s="49"/>
      <c r="K403" s="49"/>
      <c r="L403" s="49"/>
    </row>
    <row r="404" ht="12.75" customHeight="1">
      <c r="A404" s="64"/>
      <c r="J404" s="49"/>
      <c r="K404" s="49"/>
      <c r="L404" s="49"/>
    </row>
    <row r="405" ht="12.75" customHeight="1">
      <c r="A405" s="64"/>
      <c r="J405" s="49"/>
      <c r="K405" s="49"/>
      <c r="L405" s="49"/>
    </row>
    <row r="406" ht="12.75" customHeight="1">
      <c r="A406" s="64"/>
      <c r="J406" s="49"/>
      <c r="K406" s="49"/>
      <c r="L406" s="49"/>
    </row>
    <row r="407" ht="12.75" customHeight="1">
      <c r="A407" s="64"/>
      <c r="J407" s="49"/>
      <c r="K407" s="49"/>
      <c r="L407" s="49"/>
    </row>
    <row r="408" ht="12.75" customHeight="1">
      <c r="A408" s="64"/>
      <c r="J408" s="49"/>
      <c r="K408" s="49"/>
      <c r="L408" s="49"/>
    </row>
    <row r="409" ht="12.75" customHeight="1">
      <c r="A409" s="64"/>
      <c r="J409" s="49"/>
      <c r="K409" s="49"/>
      <c r="L409" s="49"/>
    </row>
    <row r="410" ht="12.75" customHeight="1">
      <c r="A410" s="64"/>
      <c r="J410" s="49"/>
      <c r="K410" s="49"/>
      <c r="L410" s="49"/>
    </row>
    <row r="411" ht="12.75" customHeight="1">
      <c r="A411" s="64"/>
      <c r="J411" s="49"/>
      <c r="K411" s="49"/>
      <c r="L411" s="49"/>
    </row>
    <row r="412" ht="12.75" customHeight="1">
      <c r="A412" s="64"/>
      <c r="J412" s="49"/>
      <c r="K412" s="49"/>
      <c r="L412" s="49"/>
    </row>
    <row r="413" ht="12.75" customHeight="1">
      <c r="A413" s="64"/>
      <c r="J413" s="49"/>
      <c r="K413" s="49"/>
      <c r="L413" s="49"/>
    </row>
    <row r="414" ht="12.75" customHeight="1">
      <c r="A414" s="64"/>
      <c r="J414" s="49"/>
      <c r="K414" s="49"/>
      <c r="L414" s="49"/>
    </row>
    <row r="415" ht="12.75" customHeight="1">
      <c r="A415" s="64"/>
      <c r="J415" s="49"/>
      <c r="K415" s="49"/>
      <c r="L415" s="49"/>
    </row>
    <row r="416" ht="12.75" customHeight="1">
      <c r="A416" s="64"/>
      <c r="J416" s="49"/>
      <c r="K416" s="49"/>
      <c r="L416" s="49"/>
    </row>
    <row r="417" ht="12.75" customHeight="1">
      <c r="A417" s="64"/>
      <c r="J417" s="49"/>
      <c r="K417" s="49"/>
      <c r="L417" s="49"/>
    </row>
    <row r="418" ht="12.75" customHeight="1">
      <c r="A418" s="64"/>
      <c r="J418" s="49"/>
      <c r="K418" s="49"/>
      <c r="L418" s="49"/>
    </row>
    <row r="419" ht="12.75" customHeight="1">
      <c r="A419" s="64"/>
      <c r="J419" s="49"/>
      <c r="K419" s="49"/>
      <c r="L419" s="49"/>
    </row>
    <row r="420" ht="12.75" customHeight="1">
      <c r="A420" s="64"/>
      <c r="J420" s="49"/>
      <c r="K420" s="49"/>
      <c r="L420" s="49"/>
    </row>
    <row r="421" ht="12.75" customHeight="1">
      <c r="A421" s="64"/>
      <c r="J421" s="49"/>
      <c r="K421" s="49"/>
      <c r="L421" s="49"/>
    </row>
    <row r="422" ht="12.75" customHeight="1">
      <c r="A422" s="64"/>
      <c r="J422" s="49"/>
      <c r="K422" s="49"/>
      <c r="L422" s="49"/>
    </row>
    <row r="423" ht="12.75" customHeight="1">
      <c r="A423" s="64"/>
      <c r="J423" s="49"/>
      <c r="K423" s="49"/>
      <c r="L423" s="49"/>
    </row>
    <row r="424" ht="12.75" customHeight="1">
      <c r="A424" s="64"/>
      <c r="J424" s="49"/>
      <c r="K424" s="49"/>
      <c r="L424" s="49"/>
    </row>
    <row r="425" ht="12.75" customHeight="1">
      <c r="A425" s="64"/>
      <c r="J425" s="49"/>
      <c r="K425" s="49"/>
      <c r="L425" s="49"/>
    </row>
    <row r="426" ht="12.75" customHeight="1">
      <c r="A426" s="64"/>
      <c r="J426" s="49"/>
      <c r="K426" s="49"/>
      <c r="L426" s="49"/>
    </row>
    <row r="427" ht="12.75" customHeight="1">
      <c r="A427" s="64"/>
      <c r="J427" s="49"/>
      <c r="K427" s="49"/>
      <c r="L427" s="49"/>
    </row>
    <row r="428" ht="12.75" customHeight="1">
      <c r="A428" s="64"/>
      <c r="J428" s="49"/>
      <c r="K428" s="49"/>
      <c r="L428" s="49"/>
    </row>
    <row r="429" ht="12.75" customHeight="1">
      <c r="A429" s="64"/>
      <c r="J429" s="49"/>
      <c r="K429" s="49"/>
      <c r="L429" s="49"/>
    </row>
    <row r="430" ht="12.75" customHeight="1">
      <c r="A430" s="64"/>
      <c r="J430" s="49"/>
      <c r="K430" s="49"/>
      <c r="L430" s="49"/>
    </row>
    <row r="431" ht="12.75" customHeight="1">
      <c r="A431" s="64"/>
      <c r="J431" s="49"/>
      <c r="K431" s="49"/>
      <c r="L431" s="49"/>
    </row>
    <row r="432" ht="12.75" customHeight="1">
      <c r="A432" s="64"/>
      <c r="J432" s="49"/>
      <c r="K432" s="49"/>
      <c r="L432" s="49"/>
    </row>
    <row r="433" ht="12.75" customHeight="1">
      <c r="A433" s="64"/>
      <c r="J433" s="49"/>
      <c r="K433" s="49"/>
      <c r="L433" s="49"/>
    </row>
    <row r="434" ht="12.75" customHeight="1">
      <c r="A434" s="64"/>
      <c r="J434" s="49"/>
      <c r="K434" s="49"/>
      <c r="L434" s="49"/>
    </row>
    <row r="435" ht="12.75" customHeight="1">
      <c r="A435" s="64"/>
      <c r="J435" s="49"/>
      <c r="K435" s="49"/>
      <c r="L435" s="49"/>
    </row>
    <row r="436" ht="12.75" customHeight="1">
      <c r="A436" s="64"/>
      <c r="J436" s="49"/>
      <c r="K436" s="49"/>
      <c r="L436" s="49"/>
    </row>
    <row r="437" ht="12.75" customHeight="1">
      <c r="A437" s="64"/>
      <c r="J437" s="49"/>
      <c r="K437" s="49"/>
      <c r="L437" s="49"/>
    </row>
    <row r="438" ht="12.75" customHeight="1">
      <c r="A438" s="64"/>
      <c r="J438" s="49"/>
      <c r="K438" s="49"/>
      <c r="L438" s="49"/>
    </row>
    <row r="439" ht="12.75" customHeight="1">
      <c r="A439" s="64"/>
      <c r="J439" s="49"/>
      <c r="K439" s="49"/>
      <c r="L439" s="49"/>
    </row>
    <row r="440" ht="12.75" customHeight="1">
      <c r="A440" s="64"/>
      <c r="J440" s="49"/>
      <c r="K440" s="49"/>
      <c r="L440" s="49"/>
    </row>
    <row r="441" ht="12.75" customHeight="1">
      <c r="A441" s="64"/>
      <c r="J441" s="49"/>
      <c r="K441" s="49"/>
      <c r="L441" s="49"/>
    </row>
    <row r="442" ht="12.75" customHeight="1">
      <c r="A442" s="64"/>
      <c r="J442" s="49"/>
      <c r="K442" s="49"/>
      <c r="L442" s="49"/>
    </row>
    <row r="443" ht="12.75" customHeight="1">
      <c r="A443" s="64"/>
      <c r="J443" s="49"/>
      <c r="K443" s="49"/>
      <c r="L443" s="49"/>
    </row>
    <row r="444" ht="12.75" customHeight="1">
      <c r="A444" s="64"/>
      <c r="J444" s="49"/>
      <c r="K444" s="49"/>
      <c r="L444" s="49"/>
    </row>
    <row r="445" ht="12.75" customHeight="1">
      <c r="A445" s="64"/>
      <c r="J445" s="49"/>
      <c r="K445" s="49"/>
      <c r="L445" s="49"/>
    </row>
    <row r="446" ht="12.75" customHeight="1">
      <c r="A446" s="64"/>
      <c r="J446" s="49"/>
      <c r="K446" s="49"/>
      <c r="L446" s="49"/>
    </row>
    <row r="447" ht="12.75" customHeight="1">
      <c r="A447" s="64"/>
      <c r="J447" s="49"/>
      <c r="K447" s="49"/>
      <c r="L447" s="49"/>
    </row>
    <row r="448" ht="12.75" customHeight="1">
      <c r="A448" s="64"/>
      <c r="J448" s="49"/>
      <c r="K448" s="49"/>
      <c r="L448" s="49"/>
    </row>
    <row r="449" ht="12.75" customHeight="1">
      <c r="A449" s="64"/>
      <c r="J449" s="49"/>
      <c r="K449" s="49"/>
      <c r="L449" s="49"/>
    </row>
    <row r="450" ht="12.75" customHeight="1">
      <c r="A450" s="64"/>
      <c r="J450" s="49"/>
      <c r="K450" s="49"/>
      <c r="L450" s="49"/>
    </row>
    <row r="451" ht="12.75" customHeight="1">
      <c r="A451" s="64"/>
      <c r="J451" s="49"/>
      <c r="K451" s="49"/>
      <c r="L451" s="49"/>
    </row>
    <row r="452" ht="12.75" customHeight="1">
      <c r="A452" s="64"/>
      <c r="J452" s="49"/>
      <c r="K452" s="49"/>
      <c r="L452" s="49"/>
    </row>
    <row r="453" ht="12.75" customHeight="1">
      <c r="A453" s="64"/>
      <c r="J453" s="49"/>
      <c r="K453" s="49"/>
      <c r="L453" s="49"/>
    </row>
    <row r="454" ht="12.75" customHeight="1">
      <c r="A454" s="64"/>
      <c r="J454" s="49"/>
      <c r="K454" s="49"/>
      <c r="L454" s="49"/>
    </row>
    <row r="455" ht="12.75" customHeight="1">
      <c r="A455" s="64"/>
      <c r="J455" s="49"/>
      <c r="K455" s="49"/>
      <c r="L455" s="49"/>
    </row>
    <row r="456" ht="12.75" customHeight="1">
      <c r="A456" s="64"/>
      <c r="J456" s="49"/>
      <c r="K456" s="49"/>
      <c r="L456" s="49"/>
    </row>
    <row r="457" ht="12.75" customHeight="1">
      <c r="A457" s="64"/>
      <c r="J457" s="49"/>
      <c r="K457" s="49"/>
      <c r="L457" s="49"/>
    </row>
    <row r="458" ht="12.75" customHeight="1">
      <c r="A458" s="64"/>
      <c r="J458" s="49"/>
      <c r="K458" s="49"/>
      <c r="L458" s="49"/>
    </row>
    <row r="459" ht="12.75" customHeight="1">
      <c r="A459" s="64"/>
      <c r="J459" s="49"/>
      <c r="K459" s="49"/>
      <c r="L459" s="49"/>
    </row>
    <row r="460" ht="12.75" customHeight="1">
      <c r="A460" s="64"/>
      <c r="J460" s="49"/>
      <c r="K460" s="49"/>
      <c r="L460" s="49"/>
    </row>
    <row r="461" ht="12.75" customHeight="1">
      <c r="A461" s="64"/>
      <c r="J461" s="49"/>
      <c r="K461" s="49"/>
      <c r="L461" s="49"/>
    </row>
    <row r="462" ht="12.75" customHeight="1">
      <c r="A462" s="64"/>
      <c r="J462" s="49"/>
      <c r="K462" s="49"/>
      <c r="L462" s="49"/>
    </row>
    <row r="463" ht="12.75" customHeight="1">
      <c r="A463" s="64"/>
      <c r="J463" s="49"/>
      <c r="K463" s="49"/>
      <c r="L463" s="49"/>
    </row>
    <row r="464" ht="12.75" customHeight="1">
      <c r="A464" s="64"/>
      <c r="J464" s="49"/>
      <c r="K464" s="49"/>
      <c r="L464" s="49"/>
    </row>
    <row r="465" ht="12.75" customHeight="1">
      <c r="A465" s="64"/>
      <c r="J465" s="49"/>
      <c r="K465" s="49"/>
      <c r="L465" s="49"/>
    </row>
    <row r="466" ht="12.75" customHeight="1">
      <c r="A466" s="64"/>
      <c r="J466" s="49"/>
      <c r="K466" s="49"/>
      <c r="L466" s="49"/>
    </row>
    <row r="467" ht="12.75" customHeight="1">
      <c r="A467" s="64"/>
      <c r="J467" s="49"/>
      <c r="K467" s="49"/>
      <c r="L467" s="49"/>
    </row>
    <row r="468" ht="12.75" customHeight="1">
      <c r="A468" s="64"/>
      <c r="J468" s="49"/>
      <c r="K468" s="49"/>
      <c r="L468" s="49"/>
    </row>
    <row r="469" ht="12.75" customHeight="1">
      <c r="A469" s="64"/>
      <c r="J469" s="49"/>
      <c r="K469" s="49"/>
      <c r="L469" s="49"/>
    </row>
    <row r="470" ht="12.75" customHeight="1">
      <c r="A470" s="64"/>
      <c r="J470" s="49"/>
      <c r="K470" s="49"/>
      <c r="L470" s="49"/>
    </row>
    <row r="471" ht="12.75" customHeight="1">
      <c r="A471" s="64"/>
      <c r="J471" s="49"/>
      <c r="K471" s="49"/>
      <c r="L471" s="49"/>
    </row>
    <row r="472" ht="12.75" customHeight="1">
      <c r="A472" s="64"/>
      <c r="J472" s="49"/>
      <c r="K472" s="49"/>
      <c r="L472" s="49"/>
    </row>
    <row r="473" ht="12.75" customHeight="1">
      <c r="A473" s="64"/>
      <c r="J473" s="49"/>
      <c r="K473" s="49"/>
      <c r="L473" s="49"/>
    </row>
    <row r="474" ht="12.75" customHeight="1">
      <c r="A474" s="64"/>
      <c r="J474" s="49"/>
      <c r="K474" s="49"/>
      <c r="L474" s="49"/>
    </row>
    <row r="475" ht="12.75" customHeight="1">
      <c r="A475" s="64"/>
      <c r="J475" s="49"/>
      <c r="K475" s="49"/>
      <c r="L475" s="49"/>
    </row>
    <row r="476" ht="12.75" customHeight="1">
      <c r="A476" s="64"/>
      <c r="J476" s="49"/>
      <c r="K476" s="49"/>
      <c r="L476" s="49"/>
    </row>
    <row r="477" ht="12.75" customHeight="1">
      <c r="A477" s="64"/>
      <c r="J477" s="49"/>
      <c r="K477" s="49"/>
      <c r="L477" s="49"/>
    </row>
    <row r="478" ht="12.75" customHeight="1">
      <c r="A478" s="64"/>
      <c r="J478" s="49"/>
      <c r="K478" s="49"/>
      <c r="L478" s="49"/>
    </row>
    <row r="479" ht="12.75" customHeight="1">
      <c r="A479" s="64"/>
      <c r="J479" s="49"/>
      <c r="K479" s="49"/>
      <c r="L479" s="49"/>
    </row>
    <row r="480" ht="12.75" customHeight="1">
      <c r="A480" s="64"/>
      <c r="J480" s="49"/>
      <c r="K480" s="49"/>
      <c r="L480" s="49"/>
    </row>
    <row r="481" ht="12.75" customHeight="1">
      <c r="A481" s="64"/>
      <c r="J481" s="49"/>
      <c r="K481" s="49"/>
      <c r="L481" s="49"/>
    </row>
    <row r="482" ht="12.75" customHeight="1">
      <c r="A482" s="64"/>
      <c r="J482" s="49"/>
      <c r="K482" s="49"/>
      <c r="L482" s="49"/>
    </row>
    <row r="483" ht="12.75" customHeight="1">
      <c r="A483" s="64"/>
      <c r="J483" s="49"/>
      <c r="K483" s="49"/>
      <c r="L483" s="49"/>
    </row>
    <row r="484" ht="12.75" customHeight="1">
      <c r="A484" s="64"/>
      <c r="J484" s="49"/>
      <c r="K484" s="49"/>
      <c r="L484" s="49"/>
    </row>
    <row r="485" ht="12.75" customHeight="1">
      <c r="A485" s="64"/>
      <c r="J485" s="49"/>
      <c r="K485" s="49"/>
      <c r="L485" s="49"/>
    </row>
    <row r="486" ht="12.75" customHeight="1">
      <c r="A486" s="64"/>
      <c r="J486" s="49"/>
      <c r="K486" s="49"/>
      <c r="L486" s="49"/>
    </row>
    <row r="487" ht="12.75" customHeight="1">
      <c r="A487" s="64"/>
      <c r="J487" s="49"/>
      <c r="K487" s="49"/>
      <c r="L487" s="49"/>
    </row>
    <row r="488" ht="12.75" customHeight="1">
      <c r="A488" s="64"/>
      <c r="J488" s="49"/>
      <c r="K488" s="49"/>
      <c r="L488" s="49"/>
    </row>
    <row r="489" ht="12.75" customHeight="1">
      <c r="A489" s="64"/>
      <c r="J489" s="49"/>
      <c r="K489" s="49"/>
      <c r="L489" s="49"/>
    </row>
    <row r="490" ht="12.75" customHeight="1">
      <c r="A490" s="64"/>
      <c r="J490" s="49"/>
      <c r="K490" s="49"/>
      <c r="L490" s="49"/>
    </row>
    <row r="491" ht="12.75" customHeight="1">
      <c r="A491" s="64"/>
      <c r="J491" s="49"/>
      <c r="K491" s="49"/>
      <c r="L491" s="49"/>
    </row>
    <row r="492" ht="12.75" customHeight="1">
      <c r="A492" s="64"/>
      <c r="J492" s="49"/>
      <c r="K492" s="49"/>
      <c r="L492" s="49"/>
    </row>
    <row r="493" ht="12.75" customHeight="1">
      <c r="A493" s="64"/>
      <c r="J493" s="49"/>
      <c r="K493" s="49"/>
      <c r="L493" s="49"/>
    </row>
    <row r="494" ht="12.75" customHeight="1">
      <c r="A494" s="64"/>
      <c r="J494" s="49"/>
      <c r="K494" s="49"/>
      <c r="L494" s="49"/>
    </row>
    <row r="495" ht="12.75" customHeight="1">
      <c r="A495" s="64"/>
      <c r="J495" s="49"/>
      <c r="K495" s="49"/>
      <c r="L495" s="49"/>
    </row>
    <row r="496" ht="12.75" customHeight="1">
      <c r="A496" s="64"/>
      <c r="J496" s="49"/>
      <c r="K496" s="49"/>
      <c r="L496" s="49"/>
    </row>
    <row r="497" ht="12.75" customHeight="1">
      <c r="A497" s="64"/>
      <c r="J497" s="49"/>
      <c r="K497" s="49"/>
      <c r="L497" s="49"/>
    </row>
    <row r="498" ht="12.75" customHeight="1">
      <c r="A498" s="64"/>
      <c r="J498" s="49"/>
      <c r="K498" s="49"/>
      <c r="L498" s="49"/>
    </row>
    <row r="499" ht="12.75" customHeight="1">
      <c r="A499" s="64"/>
      <c r="J499" s="49"/>
      <c r="K499" s="49"/>
      <c r="L499" s="49"/>
    </row>
    <row r="500" ht="12.75" customHeight="1">
      <c r="A500" s="64"/>
      <c r="J500" s="49"/>
      <c r="K500" s="49"/>
      <c r="L500" s="49"/>
    </row>
    <row r="501" ht="12.75" customHeight="1">
      <c r="A501" s="64"/>
      <c r="J501" s="49"/>
      <c r="K501" s="49"/>
      <c r="L501" s="49"/>
    </row>
    <row r="502" ht="12.75" customHeight="1">
      <c r="A502" s="64"/>
      <c r="J502" s="49"/>
      <c r="K502" s="49"/>
      <c r="L502" s="49"/>
    </row>
    <row r="503" ht="12.75" customHeight="1">
      <c r="A503" s="64"/>
      <c r="J503" s="49"/>
      <c r="K503" s="49"/>
      <c r="L503" s="49"/>
    </row>
    <row r="504" ht="12.75" customHeight="1">
      <c r="A504" s="64"/>
      <c r="J504" s="49"/>
      <c r="K504" s="49"/>
      <c r="L504" s="49"/>
    </row>
    <row r="505" ht="12.75" customHeight="1">
      <c r="A505" s="64"/>
      <c r="J505" s="49"/>
      <c r="K505" s="49"/>
      <c r="L505" s="49"/>
    </row>
    <row r="506" ht="12.75" customHeight="1">
      <c r="A506" s="64"/>
      <c r="J506" s="49"/>
      <c r="K506" s="49"/>
      <c r="L506" s="49"/>
    </row>
    <row r="507" ht="12.75" customHeight="1">
      <c r="A507" s="64"/>
      <c r="J507" s="49"/>
      <c r="K507" s="49"/>
      <c r="L507" s="49"/>
    </row>
    <row r="508" ht="12.75" customHeight="1">
      <c r="A508" s="64"/>
      <c r="J508" s="49"/>
      <c r="K508" s="49"/>
      <c r="L508" s="49"/>
    </row>
    <row r="509" ht="12.75" customHeight="1">
      <c r="A509" s="64"/>
      <c r="J509" s="49"/>
      <c r="K509" s="49"/>
      <c r="L509" s="49"/>
    </row>
    <row r="510" ht="12.75" customHeight="1">
      <c r="A510" s="64"/>
      <c r="J510" s="49"/>
      <c r="K510" s="49"/>
      <c r="L510" s="49"/>
    </row>
    <row r="511" ht="12.75" customHeight="1">
      <c r="A511" s="64"/>
      <c r="J511" s="49"/>
      <c r="K511" s="49"/>
      <c r="L511" s="49"/>
    </row>
    <row r="512" ht="12.75" customHeight="1">
      <c r="A512" s="64"/>
      <c r="J512" s="49"/>
      <c r="K512" s="49"/>
      <c r="L512" s="49"/>
    </row>
    <row r="513" ht="12.75" customHeight="1">
      <c r="A513" s="64"/>
      <c r="J513" s="49"/>
      <c r="K513" s="49"/>
      <c r="L513" s="49"/>
    </row>
    <row r="514" ht="12.75" customHeight="1">
      <c r="A514" s="64"/>
      <c r="J514" s="49"/>
      <c r="K514" s="49"/>
      <c r="L514" s="49"/>
    </row>
    <row r="515" ht="12.75" customHeight="1">
      <c r="A515" s="64"/>
      <c r="J515" s="49"/>
      <c r="K515" s="49"/>
      <c r="L515" s="49"/>
    </row>
    <row r="516" ht="12.75" customHeight="1">
      <c r="A516" s="64"/>
      <c r="J516" s="49"/>
      <c r="K516" s="49"/>
      <c r="L516" s="49"/>
    </row>
    <row r="517" ht="12.75" customHeight="1">
      <c r="A517" s="64"/>
      <c r="J517" s="49"/>
      <c r="K517" s="49"/>
      <c r="L517" s="49"/>
    </row>
    <row r="518" ht="12.75" customHeight="1">
      <c r="A518" s="64"/>
      <c r="J518" s="49"/>
      <c r="K518" s="49"/>
      <c r="L518" s="49"/>
    </row>
    <row r="519" ht="12.75" customHeight="1">
      <c r="A519" s="64"/>
      <c r="J519" s="49"/>
      <c r="K519" s="49"/>
      <c r="L519" s="49"/>
    </row>
    <row r="520" ht="12.75" customHeight="1">
      <c r="A520" s="64"/>
      <c r="J520" s="49"/>
      <c r="K520" s="49"/>
      <c r="L520" s="49"/>
    </row>
    <row r="521" ht="12.75" customHeight="1">
      <c r="A521" s="64"/>
      <c r="J521" s="49"/>
      <c r="K521" s="49"/>
      <c r="L521" s="49"/>
    </row>
    <row r="522" ht="12.75" customHeight="1">
      <c r="A522" s="64"/>
      <c r="J522" s="49"/>
      <c r="K522" s="49"/>
      <c r="L522" s="49"/>
    </row>
    <row r="523" ht="12.75" customHeight="1">
      <c r="A523" s="64"/>
      <c r="J523" s="49"/>
      <c r="K523" s="49"/>
      <c r="L523" s="49"/>
    </row>
    <row r="524" ht="12.75" customHeight="1">
      <c r="A524" s="64"/>
      <c r="J524" s="49"/>
      <c r="K524" s="49"/>
      <c r="L524" s="49"/>
    </row>
    <row r="525" ht="12.75" customHeight="1">
      <c r="A525" s="64"/>
      <c r="J525" s="49"/>
      <c r="K525" s="49"/>
      <c r="L525" s="49"/>
    </row>
    <row r="526" ht="12.75" customHeight="1">
      <c r="A526" s="64"/>
      <c r="J526" s="49"/>
      <c r="K526" s="49"/>
      <c r="L526" s="49"/>
    </row>
    <row r="527" ht="12.75" customHeight="1">
      <c r="A527" s="64"/>
      <c r="J527" s="49"/>
      <c r="K527" s="49"/>
      <c r="L527" s="49"/>
    </row>
    <row r="528" ht="12.75" customHeight="1">
      <c r="A528" s="64"/>
      <c r="J528" s="49"/>
      <c r="K528" s="49"/>
      <c r="L528" s="49"/>
    </row>
    <row r="529" ht="12.75" customHeight="1">
      <c r="A529" s="64"/>
      <c r="J529" s="49"/>
      <c r="K529" s="49"/>
      <c r="L529" s="49"/>
    </row>
    <row r="530" ht="12.75" customHeight="1">
      <c r="A530" s="64"/>
      <c r="J530" s="49"/>
      <c r="K530" s="49"/>
      <c r="L530" s="49"/>
    </row>
    <row r="531" ht="12.75" customHeight="1">
      <c r="A531" s="64"/>
      <c r="J531" s="49"/>
      <c r="K531" s="49"/>
      <c r="L531" s="49"/>
    </row>
    <row r="532" ht="12.75" customHeight="1">
      <c r="A532" s="64"/>
      <c r="J532" s="49"/>
      <c r="K532" s="49"/>
      <c r="L532" s="49"/>
    </row>
    <row r="533" ht="12.75" customHeight="1">
      <c r="A533" s="64"/>
      <c r="J533" s="49"/>
      <c r="K533" s="49"/>
      <c r="L533" s="49"/>
    </row>
    <row r="534" ht="12.75" customHeight="1">
      <c r="A534" s="64"/>
      <c r="J534" s="49"/>
      <c r="K534" s="49"/>
      <c r="L534" s="49"/>
    </row>
    <row r="535" ht="12.75" customHeight="1">
      <c r="A535" s="64"/>
      <c r="J535" s="49"/>
      <c r="K535" s="49"/>
      <c r="L535" s="49"/>
    </row>
    <row r="536" ht="12.75" customHeight="1">
      <c r="A536" s="64"/>
      <c r="J536" s="49"/>
      <c r="K536" s="49"/>
      <c r="L536" s="49"/>
    </row>
    <row r="537" ht="12.75" customHeight="1">
      <c r="A537" s="64"/>
      <c r="J537" s="49"/>
      <c r="K537" s="49"/>
      <c r="L537" s="49"/>
    </row>
    <row r="538" ht="12.75" customHeight="1">
      <c r="A538" s="64"/>
      <c r="J538" s="49"/>
      <c r="K538" s="49"/>
      <c r="L538" s="49"/>
    </row>
    <row r="539" ht="12.75" customHeight="1">
      <c r="A539" s="64"/>
      <c r="J539" s="49"/>
      <c r="K539" s="49"/>
      <c r="L539" s="49"/>
    </row>
    <row r="540" ht="12.75" customHeight="1">
      <c r="A540" s="64"/>
      <c r="J540" s="49"/>
      <c r="K540" s="49"/>
      <c r="L540" s="49"/>
    </row>
    <row r="541" ht="12.75" customHeight="1">
      <c r="A541" s="64"/>
      <c r="J541" s="49"/>
      <c r="K541" s="49"/>
      <c r="L541" s="49"/>
    </row>
    <row r="542" ht="12.75" customHeight="1">
      <c r="A542" s="64"/>
      <c r="J542" s="49"/>
      <c r="K542" s="49"/>
      <c r="L542" s="49"/>
    </row>
    <row r="543" ht="12.75" customHeight="1">
      <c r="A543" s="64"/>
      <c r="J543" s="49"/>
      <c r="K543" s="49"/>
      <c r="L543" s="49"/>
    </row>
    <row r="544" ht="12.75" customHeight="1">
      <c r="A544" s="64"/>
      <c r="J544" s="49"/>
      <c r="K544" s="49"/>
      <c r="L544" s="49"/>
    </row>
    <row r="545" ht="12.75" customHeight="1">
      <c r="A545" s="64"/>
      <c r="J545" s="49"/>
      <c r="K545" s="49"/>
      <c r="L545" s="49"/>
    </row>
    <row r="546" ht="12.75" customHeight="1">
      <c r="A546" s="64"/>
      <c r="J546" s="49"/>
      <c r="K546" s="49"/>
      <c r="L546" s="49"/>
    </row>
    <row r="547" ht="12.75" customHeight="1">
      <c r="A547" s="64"/>
      <c r="J547" s="49"/>
      <c r="K547" s="49"/>
      <c r="L547" s="49"/>
    </row>
    <row r="548" ht="12.75" customHeight="1">
      <c r="A548" s="64"/>
      <c r="J548" s="49"/>
      <c r="K548" s="49"/>
      <c r="L548" s="49"/>
    </row>
    <row r="549" ht="12.75" customHeight="1">
      <c r="A549" s="64"/>
      <c r="J549" s="49"/>
      <c r="K549" s="49"/>
      <c r="L549" s="49"/>
    </row>
    <row r="550" ht="12.75" customHeight="1">
      <c r="A550" s="64"/>
      <c r="J550" s="49"/>
      <c r="K550" s="49"/>
      <c r="L550" s="49"/>
    </row>
    <row r="551" ht="12.75" customHeight="1">
      <c r="A551" s="64"/>
      <c r="J551" s="49"/>
      <c r="K551" s="49"/>
      <c r="L551" s="49"/>
    </row>
    <row r="552" ht="12.75" customHeight="1">
      <c r="A552" s="64"/>
      <c r="J552" s="49"/>
      <c r="K552" s="49"/>
      <c r="L552" s="49"/>
    </row>
    <row r="553" ht="12.75" customHeight="1">
      <c r="A553" s="64"/>
      <c r="J553" s="49"/>
      <c r="K553" s="49"/>
      <c r="L553" s="49"/>
    </row>
    <row r="554" ht="12.75" customHeight="1">
      <c r="A554" s="64"/>
      <c r="J554" s="49"/>
      <c r="K554" s="49"/>
      <c r="L554" s="49"/>
    </row>
    <row r="555" ht="12.75" customHeight="1">
      <c r="A555" s="64"/>
      <c r="J555" s="49"/>
      <c r="K555" s="49"/>
      <c r="L555" s="49"/>
    </row>
    <row r="556" ht="12.75" customHeight="1">
      <c r="A556" s="64"/>
      <c r="J556" s="49"/>
      <c r="K556" s="49"/>
      <c r="L556" s="49"/>
    </row>
    <row r="557" ht="12.75" customHeight="1">
      <c r="A557" s="64"/>
      <c r="J557" s="49"/>
      <c r="K557" s="49"/>
      <c r="L557" s="49"/>
    </row>
    <row r="558" ht="12.75" customHeight="1">
      <c r="A558" s="64"/>
      <c r="J558" s="49"/>
      <c r="K558" s="49"/>
      <c r="L558" s="49"/>
    </row>
    <row r="559" ht="12.75" customHeight="1">
      <c r="A559" s="64"/>
      <c r="J559" s="49"/>
      <c r="K559" s="49"/>
      <c r="L559" s="49"/>
    </row>
    <row r="560" ht="12.75" customHeight="1">
      <c r="A560" s="64"/>
      <c r="J560" s="49"/>
      <c r="K560" s="49"/>
      <c r="L560" s="49"/>
    </row>
    <row r="561" ht="12.75" customHeight="1">
      <c r="A561" s="64"/>
      <c r="J561" s="49"/>
      <c r="K561" s="49"/>
      <c r="L561" s="49"/>
    </row>
    <row r="562" ht="12.75" customHeight="1">
      <c r="A562" s="64"/>
      <c r="J562" s="49"/>
      <c r="K562" s="49"/>
      <c r="L562" s="49"/>
    </row>
    <row r="563" ht="12.75" customHeight="1">
      <c r="A563" s="64"/>
      <c r="J563" s="49"/>
      <c r="K563" s="49"/>
      <c r="L563" s="49"/>
    </row>
    <row r="564" ht="12.75" customHeight="1">
      <c r="A564" s="64"/>
      <c r="J564" s="49"/>
      <c r="K564" s="49"/>
      <c r="L564" s="49"/>
    </row>
    <row r="565" ht="12.75" customHeight="1">
      <c r="A565" s="64"/>
      <c r="J565" s="49"/>
      <c r="K565" s="49"/>
      <c r="L565" s="49"/>
    </row>
    <row r="566" ht="12.75" customHeight="1">
      <c r="A566" s="64"/>
      <c r="J566" s="49"/>
      <c r="K566" s="49"/>
      <c r="L566" s="49"/>
    </row>
    <row r="567" ht="12.75" customHeight="1">
      <c r="A567" s="64"/>
      <c r="J567" s="49"/>
      <c r="K567" s="49"/>
      <c r="L567" s="49"/>
    </row>
    <row r="568" ht="12.75" customHeight="1">
      <c r="A568" s="64"/>
      <c r="J568" s="49"/>
      <c r="K568" s="49"/>
      <c r="L568" s="49"/>
    </row>
    <row r="569" ht="12.75" customHeight="1">
      <c r="A569" s="64"/>
      <c r="J569" s="49"/>
      <c r="K569" s="49"/>
      <c r="L569" s="49"/>
    </row>
    <row r="570" ht="12.75" customHeight="1">
      <c r="A570" s="64"/>
      <c r="J570" s="49"/>
      <c r="K570" s="49"/>
      <c r="L570" s="49"/>
    </row>
    <row r="571" ht="12.75" customHeight="1">
      <c r="A571" s="64"/>
      <c r="J571" s="49"/>
      <c r="K571" s="49"/>
      <c r="L571" s="49"/>
    </row>
    <row r="572" ht="12.75" customHeight="1">
      <c r="A572" s="64"/>
      <c r="J572" s="49"/>
      <c r="K572" s="49"/>
      <c r="L572" s="49"/>
    </row>
    <row r="573" ht="12.75" customHeight="1">
      <c r="A573" s="64"/>
      <c r="J573" s="49"/>
      <c r="K573" s="49"/>
      <c r="L573" s="49"/>
    </row>
    <row r="574" ht="12.75" customHeight="1">
      <c r="A574" s="64"/>
      <c r="J574" s="49"/>
      <c r="K574" s="49"/>
      <c r="L574" s="49"/>
    </row>
    <row r="575" ht="12.75" customHeight="1">
      <c r="A575" s="64"/>
      <c r="J575" s="49"/>
      <c r="K575" s="49"/>
      <c r="L575" s="49"/>
    </row>
    <row r="576" ht="12.75" customHeight="1">
      <c r="A576" s="64"/>
      <c r="J576" s="49"/>
      <c r="K576" s="49"/>
      <c r="L576" s="49"/>
    </row>
    <row r="577" ht="12.75" customHeight="1">
      <c r="A577" s="64"/>
      <c r="J577" s="49"/>
      <c r="K577" s="49"/>
      <c r="L577" s="49"/>
    </row>
    <row r="578" ht="12.75" customHeight="1">
      <c r="A578" s="64"/>
      <c r="J578" s="49"/>
      <c r="K578" s="49"/>
      <c r="L578" s="49"/>
    </row>
    <row r="579" ht="12.75" customHeight="1">
      <c r="A579" s="64"/>
      <c r="J579" s="49"/>
      <c r="K579" s="49"/>
      <c r="L579" s="49"/>
    </row>
    <row r="580" ht="12.75" customHeight="1">
      <c r="A580" s="64"/>
      <c r="J580" s="49"/>
      <c r="K580" s="49"/>
      <c r="L580" s="49"/>
    </row>
    <row r="581" ht="12.75" customHeight="1">
      <c r="A581" s="64"/>
      <c r="J581" s="49"/>
      <c r="K581" s="49"/>
      <c r="L581" s="49"/>
    </row>
    <row r="582" ht="12.75" customHeight="1">
      <c r="A582" s="64"/>
      <c r="J582" s="49"/>
      <c r="K582" s="49"/>
      <c r="L582" s="49"/>
    </row>
    <row r="583" ht="12.75" customHeight="1">
      <c r="A583" s="64"/>
      <c r="J583" s="49"/>
      <c r="K583" s="49"/>
      <c r="L583" s="49"/>
    </row>
    <row r="584" ht="12.75" customHeight="1">
      <c r="A584" s="64"/>
      <c r="J584" s="49"/>
      <c r="K584" s="49"/>
      <c r="L584" s="49"/>
    </row>
    <row r="585" ht="12.75" customHeight="1">
      <c r="A585" s="64"/>
      <c r="J585" s="49"/>
      <c r="K585" s="49"/>
      <c r="L585" s="49"/>
    </row>
    <row r="586" ht="12.75" customHeight="1">
      <c r="A586" s="64"/>
      <c r="J586" s="49"/>
      <c r="K586" s="49"/>
      <c r="L586" s="49"/>
    </row>
    <row r="587" ht="12.75" customHeight="1">
      <c r="A587" s="64"/>
      <c r="J587" s="49"/>
      <c r="K587" s="49"/>
      <c r="L587" s="49"/>
    </row>
    <row r="588" ht="12.75" customHeight="1">
      <c r="A588" s="64"/>
      <c r="J588" s="49"/>
      <c r="K588" s="49"/>
      <c r="L588" s="49"/>
    </row>
    <row r="589" ht="12.75" customHeight="1">
      <c r="A589" s="64"/>
      <c r="J589" s="49"/>
      <c r="K589" s="49"/>
      <c r="L589" s="49"/>
    </row>
    <row r="590" ht="12.75" customHeight="1">
      <c r="A590" s="64"/>
      <c r="J590" s="49"/>
      <c r="K590" s="49"/>
      <c r="L590" s="49"/>
    </row>
    <row r="591" ht="12.75" customHeight="1">
      <c r="A591" s="64"/>
      <c r="J591" s="49"/>
      <c r="K591" s="49"/>
      <c r="L591" s="49"/>
    </row>
    <row r="592" ht="12.75" customHeight="1">
      <c r="A592" s="64"/>
      <c r="J592" s="49"/>
      <c r="K592" s="49"/>
      <c r="L592" s="49"/>
    </row>
    <row r="593" ht="12.75" customHeight="1">
      <c r="A593" s="64"/>
      <c r="J593" s="49"/>
      <c r="K593" s="49"/>
      <c r="L593" s="49"/>
    </row>
    <row r="594" ht="12.75" customHeight="1">
      <c r="A594" s="64"/>
      <c r="J594" s="49"/>
      <c r="K594" s="49"/>
      <c r="L594" s="49"/>
    </row>
    <row r="595" ht="12.75" customHeight="1">
      <c r="A595" s="64"/>
      <c r="J595" s="49"/>
      <c r="K595" s="49"/>
      <c r="L595" s="49"/>
    </row>
    <row r="596" ht="12.75" customHeight="1">
      <c r="A596" s="64"/>
      <c r="J596" s="49"/>
      <c r="K596" s="49"/>
      <c r="L596" s="49"/>
    </row>
    <row r="597" ht="12.75" customHeight="1">
      <c r="A597" s="64"/>
      <c r="J597" s="49"/>
      <c r="K597" s="49"/>
      <c r="L597" s="49"/>
    </row>
    <row r="598" ht="12.75" customHeight="1">
      <c r="A598" s="64"/>
      <c r="J598" s="49"/>
      <c r="K598" s="49"/>
      <c r="L598" s="49"/>
    </row>
    <row r="599" ht="12.75" customHeight="1">
      <c r="A599" s="64"/>
      <c r="J599" s="49"/>
      <c r="K599" s="49"/>
      <c r="L599" s="49"/>
    </row>
    <row r="600" ht="12.75" customHeight="1">
      <c r="A600" s="64"/>
      <c r="J600" s="49"/>
      <c r="K600" s="49"/>
      <c r="L600" s="49"/>
    </row>
    <row r="601" ht="12.75" customHeight="1">
      <c r="A601" s="64"/>
      <c r="J601" s="49"/>
      <c r="K601" s="49"/>
      <c r="L601" s="49"/>
    </row>
    <row r="602" ht="12.75" customHeight="1">
      <c r="A602" s="64"/>
      <c r="J602" s="49"/>
      <c r="K602" s="49"/>
      <c r="L602" s="49"/>
    </row>
    <row r="603" ht="12.75" customHeight="1">
      <c r="A603" s="64"/>
      <c r="J603" s="49"/>
      <c r="K603" s="49"/>
      <c r="L603" s="49"/>
    </row>
    <row r="604" ht="12.75" customHeight="1">
      <c r="A604" s="64"/>
      <c r="J604" s="49"/>
      <c r="K604" s="49"/>
      <c r="L604" s="49"/>
    </row>
    <row r="605" ht="12.75" customHeight="1">
      <c r="A605" s="64"/>
      <c r="J605" s="49"/>
      <c r="K605" s="49"/>
      <c r="L605" s="49"/>
    </row>
    <row r="606" ht="12.75" customHeight="1">
      <c r="A606" s="64"/>
      <c r="J606" s="49"/>
      <c r="K606" s="49"/>
      <c r="L606" s="49"/>
    </row>
    <row r="607" ht="12.75" customHeight="1">
      <c r="A607" s="64"/>
      <c r="J607" s="49"/>
      <c r="K607" s="49"/>
      <c r="L607" s="49"/>
    </row>
    <row r="608" ht="12.75" customHeight="1">
      <c r="A608" s="64"/>
      <c r="J608" s="49"/>
      <c r="K608" s="49"/>
      <c r="L608" s="49"/>
    </row>
    <row r="609" ht="12.75" customHeight="1">
      <c r="A609" s="64"/>
      <c r="J609" s="49"/>
      <c r="K609" s="49"/>
      <c r="L609" s="49"/>
    </row>
    <row r="610" ht="12.75" customHeight="1">
      <c r="A610" s="64"/>
      <c r="J610" s="49"/>
      <c r="K610" s="49"/>
      <c r="L610" s="49"/>
    </row>
    <row r="611" ht="12.75" customHeight="1">
      <c r="A611" s="64"/>
      <c r="J611" s="49"/>
      <c r="K611" s="49"/>
      <c r="L611" s="49"/>
    </row>
    <row r="612" ht="12.75" customHeight="1">
      <c r="A612" s="64"/>
      <c r="J612" s="49"/>
      <c r="K612" s="49"/>
      <c r="L612" s="49"/>
    </row>
    <row r="613" ht="12.75" customHeight="1">
      <c r="A613" s="64"/>
      <c r="J613" s="49"/>
      <c r="K613" s="49"/>
      <c r="L613" s="49"/>
    </row>
    <row r="614" ht="12.75" customHeight="1">
      <c r="A614" s="64"/>
      <c r="J614" s="49"/>
      <c r="K614" s="49"/>
      <c r="L614" s="49"/>
    </row>
    <row r="615" ht="12.75" customHeight="1">
      <c r="A615" s="64"/>
      <c r="J615" s="49"/>
      <c r="K615" s="49"/>
      <c r="L615" s="49"/>
    </row>
    <row r="616" ht="12.75" customHeight="1">
      <c r="A616" s="64"/>
      <c r="J616" s="49"/>
      <c r="K616" s="49"/>
      <c r="L616" s="49"/>
    </row>
    <row r="617" ht="12.75" customHeight="1">
      <c r="A617" s="64"/>
      <c r="J617" s="49"/>
      <c r="K617" s="49"/>
      <c r="L617" s="49"/>
    </row>
    <row r="618" ht="12.75" customHeight="1">
      <c r="A618" s="64"/>
      <c r="J618" s="49"/>
      <c r="K618" s="49"/>
      <c r="L618" s="49"/>
    </row>
    <row r="619" ht="12.75" customHeight="1">
      <c r="A619" s="64"/>
      <c r="J619" s="49"/>
      <c r="K619" s="49"/>
      <c r="L619" s="49"/>
    </row>
    <row r="620" ht="12.75" customHeight="1">
      <c r="A620" s="64"/>
      <c r="J620" s="49"/>
      <c r="K620" s="49"/>
      <c r="L620" s="49"/>
    </row>
    <row r="621" ht="12.75" customHeight="1">
      <c r="A621" s="64"/>
      <c r="J621" s="49"/>
      <c r="K621" s="49"/>
      <c r="L621" s="49"/>
    </row>
    <row r="622" ht="12.75" customHeight="1">
      <c r="A622" s="64"/>
      <c r="J622" s="49"/>
      <c r="K622" s="49"/>
      <c r="L622" s="49"/>
    </row>
    <row r="623" ht="12.75" customHeight="1">
      <c r="A623" s="64"/>
      <c r="J623" s="49"/>
      <c r="K623" s="49"/>
      <c r="L623" s="49"/>
    </row>
    <row r="624" ht="12.75" customHeight="1">
      <c r="A624" s="64"/>
      <c r="J624" s="49"/>
      <c r="K624" s="49"/>
      <c r="L624" s="49"/>
    </row>
    <row r="625" ht="12.75" customHeight="1">
      <c r="A625" s="64"/>
      <c r="J625" s="49"/>
      <c r="K625" s="49"/>
      <c r="L625" s="49"/>
    </row>
    <row r="626" ht="12.75" customHeight="1">
      <c r="A626" s="64"/>
      <c r="J626" s="49"/>
      <c r="K626" s="49"/>
      <c r="L626" s="49"/>
    </row>
    <row r="627" ht="12.75" customHeight="1">
      <c r="A627" s="64"/>
      <c r="J627" s="49"/>
      <c r="K627" s="49"/>
      <c r="L627" s="49"/>
    </row>
    <row r="628" ht="12.75" customHeight="1">
      <c r="A628" s="64"/>
      <c r="J628" s="49"/>
      <c r="K628" s="49"/>
      <c r="L628" s="49"/>
    </row>
    <row r="629" ht="12.75" customHeight="1">
      <c r="A629" s="64"/>
      <c r="J629" s="49"/>
      <c r="K629" s="49"/>
      <c r="L629" s="49"/>
    </row>
    <row r="630" ht="12.75" customHeight="1">
      <c r="A630" s="64"/>
      <c r="J630" s="49"/>
      <c r="K630" s="49"/>
      <c r="L630" s="49"/>
    </row>
    <row r="631" ht="12.75" customHeight="1">
      <c r="A631" s="64"/>
      <c r="J631" s="49"/>
      <c r="K631" s="49"/>
      <c r="L631" s="49"/>
    </row>
    <row r="632" ht="12.75" customHeight="1">
      <c r="A632" s="64"/>
      <c r="J632" s="49"/>
      <c r="K632" s="49"/>
      <c r="L632" s="49"/>
    </row>
    <row r="633" ht="12.75" customHeight="1">
      <c r="A633" s="64"/>
      <c r="J633" s="49"/>
      <c r="K633" s="49"/>
      <c r="L633" s="49"/>
    </row>
    <row r="634" ht="12.75" customHeight="1">
      <c r="A634" s="64"/>
      <c r="J634" s="49"/>
      <c r="K634" s="49"/>
      <c r="L634" s="49"/>
    </row>
    <row r="635" ht="12.75" customHeight="1">
      <c r="A635" s="64"/>
      <c r="J635" s="49"/>
      <c r="K635" s="49"/>
      <c r="L635" s="49"/>
    </row>
    <row r="636" ht="12.75" customHeight="1">
      <c r="A636" s="64"/>
      <c r="J636" s="49"/>
      <c r="K636" s="49"/>
      <c r="L636" s="49"/>
    </row>
    <row r="637" ht="12.75" customHeight="1">
      <c r="A637" s="64"/>
      <c r="J637" s="49"/>
      <c r="K637" s="49"/>
      <c r="L637" s="49"/>
    </row>
    <row r="638" ht="12.75" customHeight="1">
      <c r="A638" s="64"/>
      <c r="J638" s="49"/>
      <c r="K638" s="49"/>
      <c r="L638" s="49"/>
    </row>
    <row r="639" ht="12.75" customHeight="1">
      <c r="A639" s="64"/>
      <c r="J639" s="49"/>
      <c r="K639" s="49"/>
      <c r="L639" s="49"/>
    </row>
    <row r="640" ht="12.75" customHeight="1">
      <c r="A640" s="64"/>
      <c r="J640" s="49"/>
      <c r="K640" s="49"/>
      <c r="L640" s="49"/>
    </row>
    <row r="641" ht="12.75" customHeight="1">
      <c r="A641" s="64"/>
      <c r="J641" s="49"/>
      <c r="K641" s="49"/>
      <c r="L641" s="49"/>
    </row>
    <row r="642" ht="12.75" customHeight="1">
      <c r="A642" s="64"/>
      <c r="J642" s="49"/>
      <c r="K642" s="49"/>
      <c r="L642" s="49"/>
    </row>
    <row r="643" ht="12.75" customHeight="1">
      <c r="A643" s="64"/>
      <c r="J643" s="49"/>
      <c r="K643" s="49"/>
      <c r="L643" s="49"/>
    </row>
    <row r="644" ht="12.75" customHeight="1">
      <c r="A644" s="64"/>
      <c r="J644" s="49"/>
      <c r="K644" s="49"/>
      <c r="L644" s="49"/>
    </row>
    <row r="645" ht="12.75" customHeight="1">
      <c r="A645" s="64"/>
      <c r="J645" s="49"/>
      <c r="K645" s="49"/>
      <c r="L645" s="49"/>
    </row>
    <row r="646" ht="12.75" customHeight="1">
      <c r="A646" s="64"/>
      <c r="J646" s="49"/>
      <c r="K646" s="49"/>
      <c r="L646" s="49"/>
    </row>
    <row r="647" ht="12.75" customHeight="1">
      <c r="A647" s="64"/>
      <c r="J647" s="49"/>
      <c r="K647" s="49"/>
      <c r="L647" s="49"/>
    </row>
    <row r="648" ht="12.75" customHeight="1">
      <c r="A648" s="64"/>
      <c r="J648" s="49"/>
      <c r="K648" s="49"/>
      <c r="L648" s="49"/>
    </row>
    <row r="649" ht="12.75" customHeight="1">
      <c r="A649" s="64"/>
      <c r="J649" s="49"/>
      <c r="K649" s="49"/>
      <c r="L649" s="49"/>
    </row>
    <row r="650" ht="12.75" customHeight="1">
      <c r="A650" s="64"/>
      <c r="J650" s="49"/>
      <c r="K650" s="49"/>
      <c r="L650" s="49"/>
    </row>
    <row r="651" ht="12.75" customHeight="1">
      <c r="A651" s="64"/>
      <c r="J651" s="49"/>
      <c r="K651" s="49"/>
      <c r="L651" s="49"/>
    </row>
    <row r="652" ht="12.75" customHeight="1">
      <c r="A652" s="64"/>
      <c r="J652" s="49"/>
      <c r="K652" s="49"/>
      <c r="L652" s="49"/>
    </row>
    <row r="653" ht="12.75" customHeight="1">
      <c r="A653" s="64"/>
      <c r="J653" s="49"/>
      <c r="K653" s="49"/>
      <c r="L653" s="49"/>
    </row>
    <row r="654" ht="12.75" customHeight="1">
      <c r="A654" s="64"/>
      <c r="J654" s="49"/>
      <c r="K654" s="49"/>
      <c r="L654" s="49"/>
    </row>
    <row r="655" ht="12.75" customHeight="1">
      <c r="A655" s="64"/>
      <c r="J655" s="49"/>
      <c r="K655" s="49"/>
      <c r="L655" s="49"/>
    </row>
    <row r="656" ht="12.75" customHeight="1">
      <c r="A656" s="64"/>
      <c r="J656" s="49"/>
      <c r="K656" s="49"/>
      <c r="L656" s="49"/>
    </row>
    <row r="657" ht="12.75" customHeight="1">
      <c r="A657" s="64"/>
      <c r="J657" s="49"/>
      <c r="K657" s="49"/>
      <c r="L657" s="49"/>
    </row>
    <row r="658" ht="12.75" customHeight="1">
      <c r="A658" s="64"/>
      <c r="J658" s="49"/>
      <c r="K658" s="49"/>
      <c r="L658" s="49"/>
    </row>
    <row r="659" ht="12.75" customHeight="1">
      <c r="A659" s="64"/>
      <c r="J659" s="49"/>
      <c r="K659" s="49"/>
      <c r="L659" s="49"/>
    </row>
    <row r="660" ht="12.75" customHeight="1">
      <c r="A660" s="64"/>
      <c r="J660" s="49"/>
      <c r="K660" s="49"/>
      <c r="L660" s="49"/>
    </row>
    <row r="661" ht="12.75" customHeight="1">
      <c r="A661" s="64"/>
      <c r="J661" s="49"/>
      <c r="K661" s="49"/>
      <c r="L661" s="49"/>
    </row>
    <row r="662" ht="12.75" customHeight="1">
      <c r="A662" s="64"/>
      <c r="J662" s="49"/>
      <c r="K662" s="49"/>
      <c r="L662" s="49"/>
    </row>
    <row r="663" ht="12.75" customHeight="1">
      <c r="A663" s="64"/>
      <c r="J663" s="49"/>
      <c r="K663" s="49"/>
      <c r="L663" s="49"/>
    </row>
    <row r="664" ht="12.75" customHeight="1">
      <c r="A664" s="64"/>
      <c r="J664" s="49"/>
      <c r="K664" s="49"/>
      <c r="L664" s="49"/>
    </row>
    <row r="665" ht="12.75" customHeight="1">
      <c r="A665" s="64"/>
      <c r="J665" s="49"/>
      <c r="K665" s="49"/>
      <c r="L665" s="49"/>
    </row>
    <row r="666" ht="12.75" customHeight="1">
      <c r="A666" s="64"/>
      <c r="J666" s="49"/>
      <c r="K666" s="49"/>
      <c r="L666" s="49"/>
    </row>
    <row r="667" ht="12.75" customHeight="1">
      <c r="A667" s="64"/>
      <c r="J667" s="49"/>
      <c r="K667" s="49"/>
      <c r="L667" s="49"/>
    </row>
    <row r="668" ht="12.75" customHeight="1">
      <c r="A668" s="64"/>
      <c r="J668" s="49"/>
      <c r="K668" s="49"/>
      <c r="L668" s="49"/>
    </row>
    <row r="669" ht="12.75" customHeight="1">
      <c r="A669" s="64"/>
      <c r="J669" s="49"/>
      <c r="K669" s="49"/>
      <c r="L669" s="49"/>
    </row>
    <row r="670" ht="12.75" customHeight="1">
      <c r="A670" s="64"/>
      <c r="J670" s="49"/>
      <c r="K670" s="49"/>
      <c r="L670" s="49"/>
    </row>
    <row r="671" ht="12.75" customHeight="1">
      <c r="A671" s="64"/>
      <c r="J671" s="49"/>
      <c r="K671" s="49"/>
      <c r="L671" s="49"/>
    </row>
    <row r="672" ht="12.75" customHeight="1">
      <c r="A672" s="64"/>
      <c r="J672" s="49"/>
      <c r="K672" s="49"/>
      <c r="L672" s="49"/>
    </row>
    <row r="673" ht="12.75" customHeight="1">
      <c r="A673" s="64"/>
      <c r="J673" s="49"/>
      <c r="K673" s="49"/>
      <c r="L673" s="49"/>
    </row>
    <row r="674" ht="12.75" customHeight="1">
      <c r="A674" s="64"/>
      <c r="J674" s="49"/>
      <c r="K674" s="49"/>
      <c r="L674" s="49"/>
    </row>
    <row r="675" ht="12.75" customHeight="1">
      <c r="A675" s="64"/>
      <c r="J675" s="49"/>
      <c r="K675" s="49"/>
      <c r="L675" s="49"/>
    </row>
    <row r="676" ht="12.75" customHeight="1">
      <c r="A676" s="64"/>
      <c r="J676" s="49"/>
      <c r="K676" s="49"/>
      <c r="L676" s="49"/>
    </row>
    <row r="677" ht="12.75" customHeight="1">
      <c r="A677" s="64"/>
      <c r="J677" s="49"/>
      <c r="K677" s="49"/>
      <c r="L677" s="49"/>
    </row>
    <row r="678" ht="12.75" customHeight="1">
      <c r="A678" s="64"/>
      <c r="J678" s="49"/>
      <c r="K678" s="49"/>
      <c r="L678" s="49"/>
    </row>
    <row r="679" ht="12.75" customHeight="1">
      <c r="A679" s="64"/>
      <c r="J679" s="49"/>
      <c r="K679" s="49"/>
      <c r="L679" s="49"/>
    </row>
    <row r="680" ht="12.75" customHeight="1">
      <c r="A680" s="64"/>
      <c r="J680" s="49"/>
      <c r="K680" s="49"/>
      <c r="L680" s="49"/>
    </row>
    <row r="681" ht="12.75" customHeight="1">
      <c r="A681" s="64"/>
      <c r="J681" s="49"/>
      <c r="K681" s="49"/>
      <c r="L681" s="49"/>
    </row>
    <row r="682" ht="12.75" customHeight="1">
      <c r="A682" s="64"/>
      <c r="J682" s="49"/>
      <c r="K682" s="49"/>
      <c r="L682" s="49"/>
    </row>
    <row r="683" ht="12.75" customHeight="1">
      <c r="A683" s="64"/>
      <c r="J683" s="49"/>
      <c r="K683" s="49"/>
      <c r="L683" s="49"/>
    </row>
    <row r="684" ht="12.75" customHeight="1">
      <c r="A684" s="64"/>
      <c r="J684" s="49"/>
      <c r="K684" s="49"/>
      <c r="L684" s="49"/>
    </row>
    <row r="685" ht="12.75" customHeight="1">
      <c r="A685" s="64"/>
      <c r="J685" s="49"/>
      <c r="K685" s="49"/>
      <c r="L685" s="49"/>
    </row>
    <row r="686" ht="12.75" customHeight="1">
      <c r="A686" s="64"/>
      <c r="J686" s="49"/>
      <c r="K686" s="49"/>
      <c r="L686" s="49"/>
    </row>
    <row r="687" ht="12.75" customHeight="1">
      <c r="A687" s="64"/>
      <c r="J687" s="49"/>
      <c r="K687" s="49"/>
      <c r="L687" s="49"/>
    </row>
    <row r="688" ht="12.75" customHeight="1">
      <c r="A688" s="64"/>
      <c r="J688" s="49"/>
      <c r="K688" s="49"/>
      <c r="L688" s="49"/>
    </row>
    <row r="689" ht="12.75" customHeight="1">
      <c r="A689" s="64"/>
      <c r="J689" s="49"/>
      <c r="K689" s="49"/>
      <c r="L689" s="49"/>
    </row>
    <row r="690" ht="12.75" customHeight="1">
      <c r="A690" s="64"/>
      <c r="J690" s="49"/>
      <c r="K690" s="49"/>
      <c r="L690" s="49"/>
    </row>
    <row r="691" ht="12.75" customHeight="1">
      <c r="A691" s="64"/>
      <c r="J691" s="49"/>
      <c r="K691" s="49"/>
      <c r="L691" s="49"/>
    </row>
    <row r="692" ht="12.75" customHeight="1">
      <c r="A692" s="64"/>
      <c r="J692" s="49"/>
      <c r="K692" s="49"/>
      <c r="L692" s="49"/>
    </row>
    <row r="693" ht="12.75" customHeight="1">
      <c r="A693" s="64"/>
      <c r="J693" s="49"/>
      <c r="K693" s="49"/>
      <c r="L693" s="49"/>
    </row>
    <row r="694" ht="12.75" customHeight="1">
      <c r="A694" s="64"/>
      <c r="J694" s="49"/>
      <c r="K694" s="49"/>
      <c r="L694" s="49"/>
    </row>
    <row r="695" ht="12.75" customHeight="1">
      <c r="A695" s="64"/>
      <c r="J695" s="49"/>
      <c r="K695" s="49"/>
      <c r="L695" s="49"/>
    </row>
    <row r="696" ht="12.75" customHeight="1">
      <c r="A696" s="64"/>
      <c r="J696" s="49"/>
      <c r="K696" s="49"/>
      <c r="L696" s="49"/>
    </row>
    <row r="697" ht="12.75" customHeight="1">
      <c r="A697" s="64"/>
      <c r="J697" s="49"/>
      <c r="K697" s="49"/>
      <c r="L697" s="49"/>
    </row>
    <row r="698" ht="12.75" customHeight="1">
      <c r="A698" s="64"/>
      <c r="J698" s="49"/>
      <c r="K698" s="49"/>
      <c r="L698" s="49"/>
    </row>
    <row r="699" ht="12.75" customHeight="1">
      <c r="A699" s="64"/>
      <c r="J699" s="49"/>
      <c r="K699" s="49"/>
      <c r="L699" s="49"/>
    </row>
    <row r="700" ht="12.75" customHeight="1">
      <c r="A700" s="64"/>
      <c r="J700" s="49"/>
      <c r="K700" s="49"/>
      <c r="L700" s="49"/>
    </row>
    <row r="701" ht="12.75" customHeight="1">
      <c r="A701" s="64"/>
      <c r="J701" s="49"/>
      <c r="K701" s="49"/>
      <c r="L701" s="49"/>
    </row>
    <row r="702" ht="12.75" customHeight="1">
      <c r="A702" s="64"/>
      <c r="J702" s="49"/>
      <c r="K702" s="49"/>
      <c r="L702" s="49"/>
    </row>
    <row r="703" ht="12.75" customHeight="1">
      <c r="A703" s="64"/>
      <c r="J703" s="49"/>
      <c r="K703" s="49"/>
      <c r="L703" s="49"/>
    </row>
    <row r="704" ht="12.75" customHeight="1">
      <c r="A704" s="64"/>
      <c r="J704" s="49"/>
      <c r="K704" s="49"/>
      <c r="L704" s="49"/>
    </row>
    <row r="705" ht="12.75" customHeight="1">
      <c r="A705" s="64"/>
      <c r="J705" s="49"/>
      <c r="K705" s="49"/>
      <c r="L705" s="49"/>
    </row>
    <row r="706" ht="12.75" customHeight="1">
      <c r="A706" s="64"/>
      <c r="J706" s="49"/>
      <c r="K706" s="49"/>
      <c r="L706" s="49"/>
    </row>
    <row r="707" ht="12.75" customHeight="1">
      <c r="A707" s="64"/>
      <c r="J707" s="49"/>
      <c r="K707" s="49"/>
      <c r="L707" s="49"/>
    </row>
    <row r="708" ht="12.75" customHeight="1">
      <c r="A708" s="64"/>
      <c r="J708" s="49"/>
      <c r="K708" s="49"/>
      <c r="L708" s="49"/>
    </row>
    <row r="709" ht="12.75" customHeight="1">
      <c r="A709" s="64"/>
      <c r="J709" s="49"/>
      <c r="K709" s="49"/>
      <c r="L709" s="49"/>
    </row>
    <row r="710" ht="12.75" customHeight="1">
      <c r="A710" s="64"/>
      <c r="J710" s="49"/>
      <c r="K710" s="49"/>
      <c r="L710" s="49"/>
    </row>
    <row r="711" ht="12.75" customHeight="1">
      <c r="A711" s="64"/>
      <c r="J711" s="49"/>
      <c r="K711" s="49"/>
      <c r="L711" s="49"/>
    </row>
    <row r="712" ht="12.75" customHeight="1">
      <c r="A712" s="64"/>
      <c r="J712" s="49"/>
      <c r="K712" s="49"/>
      <c r="L712" s="49"/>
    </row>
    <row r="713" ht="12.75" customHeight="1">
      <c r="A713" s="64"/>
      <c r="J713" s="49"/>
      <c r="K713" s="49"/>
      <c r="L713" s="49"/>
    </row>
    <row r="714" ht="12.75" customHeight="1">
      <c r="A714" s="64"/>
      <c r="J714" s="49"/>
      <c r="K714" s="49"/>
      <c r="L714" s="49"/>
    </row>
    <row r="715" ht="12.75" customHeight="1">
      <c r="A715" s="64"/>
      <c r="J715" s="49"/>
      <c r="K715" s="49"/>
      <c r="L715" s="49"/>
    </row>
    <row r="716" ht="12.75" customHeight="1">
      <c r="A716" s="64"/>
      <c r="J716" s="49"/>
      <c r="K716" s="49"/>
      <c r="L716" s="49"/>
    </row>
    <row r="717" ht="12.75" customHeight="1">
      <c r="A717" s="64"/>
      <c r="J717" s="49"/>
      <c r="K717" s="49"/>
      <c r="L717" s="49"/>
    </row>
    <row r="718" ht="12.75" customHeight="1">
      <c r="A718" s="64"/>
      <c r="J718" s="49"/>
      <c r="K718" s="49"/>
      <c r="L718" s="49"/>
    </row>
    <row r="719" ht="12.75" customHeight="1">
      <c r="A719" s="64"/>
      <c r="J719" s="49"/>
      <c r="K719" s="49"/>
      <c r="L719" s="49"/>
    </row>
    <row r="720" ht="12.75" customHeight="1">
      <c r="A720" s="64"/>
      <c r="J720" s="49"/>
      <c r="K720" s="49"/>
      <c r="L720" s="49"/>
    </row>
    <row r="721" ht="12.75" customHeight="1">
      <c r="A721" s="64"/>
      <c r="J721" s="49"/>
      <c r="K721" s="49"/>
      <c r="L721" s="49"/>
    </row>
    <row r="722" ht="12.75" customHeight="1">
      <c r="A722" s="64"/>
      <c r="J722" s="49"/>
      <c r="K722" s="49"/>
      <c r="L722" s="49"/>
    </row>
    <row r="723" ht="12.75" customHeight="1">
      <c r="A723" s="64"/>
      <c r="J723" s="49"/>
      <c r="K723" s="49"/>
      <c r="L723" s="49"/>
    </row>
    <row r="724" ht="12.75" customHeight="1">
      <c r="A724" s="64"/>
      <c r="J724" s="49"/>
      <c r="K724" s="49"/>
      <c r="L724" s="49"/>
    </row>
    <row r="725" ht="12.75" customHeight="1">
      <c r="A725" s="64"/>
      <c r="J725" s="49"/>
      <c r="K725" s="49"/>
      <c r="L725" s="49"/>
    </row>
    <row r="726" ht="12.75" customHeight="1">
      <c r="A726" s="64"/>
      <c r="J726" s="49"/>
      <c r="K726" s="49"/>
      <c r="L726" s="49"/>
    </row>
    <row r="727" ht="12.75" customHeight="1">
      <c r="A727" s="64"/>
      <c r="J727" s="49"/>
      <c r="K727" s="49"/>
      <c r="L727" s="49"/>
    </row>
    <row r="728" ht="12.75" customHeight="1">
      <c r="A728" s="64"/>
      <c r="J728" s="49"/>
      <c r="K728" s="49"/>
      <c r="L728" s="49"/>
    </row>
    <row r="729" ht="12.75" customHeight="1">
      <c r="A729" s="64"/>
      <c r="J729" s="49"/>
      <c r="K729" s="49"/>
      <c r="L729" s="49"/>
    </row>
    <row r="730" ht="12.75" customHeight="1">
      <c r="A730" s="64"/>
      <c r="J730" s="49"/>
      <c r="K730" s="49"/>
      <c r="L730" s="49"/>
    </row>
    <row r="731" ht="12.75" customHeight="1">
      <c r="A731" s="64"/>
      <c r="J731" s="49"/>
      <c r="K731" s="49"/>
      <c r="L731" s="49"/>
    </row>
    <row r="732" ht="12.75" customHeight="1">
      <c r="A732" s="64"/>
      <c r="J732" s="49"/>
      <c r="K732" s="49"/>
      <c r="L732" s="49"/>
    </row>
    <row r="733" ht="12.75" customHeight="1">
      <c r="A733" s="64"/>
      <c r="J733" s="49"/>
      <c r="K733" s="49"/>
      <c r="L733" s="49"/>
    </row>
    <row r="734" ht="12.75" customHeight="1">
      <c r="A734" s="64"/>
      <c r="J734" s="49"/>
      <c r="K734" s="49"/>
      <c r="L734" s="49"/>
    </row>
    <row r="735" ht="12.75" customHeight="1">
      <c r="A735" s="64"/>
      <c r="J735" s="49"/>
      <c r="K735" s="49"/>
      <c r="L735" s="49"/>
    </row>
    <row r="736" ht="12.75" customHeight="1">
      <c r="A736" s="64"/>
      <c r="J736" s="49"/>
      <c r="K736" s="49"/>
      <c r="L736" s="49"/>
    </row>
    <row r="737" ht="12.75" customHeight="1">
      <c r="A737" s="64"/>
      <c r="J737" s="49"/>
      <c r="K737" s="49"/>
      <c r="L737" s="49"/>
    </row>
    <row r="738" ht="12.75" customHeight="1">
      <c r="A738" s="64"/>
      <c r="J738" s="49"/>
      <c r="K738" s="49"/>
      <c r="L738" s="49"/>
    </row>
    <row r="739" ht="12.75" customHeight="1">
      <c r="A739" s="64"/>
      <c r="J739" s="49"/>
      <c r="K739" s="49"/>
      <c r="L739" s="49"/>
    </row>
    <row r="740" ht="12.75" customHeight="1">
      <c r="A740" s="64"/>
      <c r="J740" s="49"/>
      <c r="K740" s="49"/>
      <c r="L740" s="49"/>
    </row>
    <row r="741" ht="12.75" customHeight="1">
      <c r="A741" s="64"/>
      <c r="J741" s="49"/>
      <c r="K741" s="49"/>
      <c r="L741" s="49"/>
    </row>
    <row r="742" ht="12.75" customHeight="1">
      <c r="A742" s="64"/>
      <c r="J742" s="49"/>
      <c r="K742" s="49"/>
      <c r="L742" s="49"/>
    </row>
    <row r="743" ht="12.75" customHeight="1">
      <c r="A743" s="64"/>
      <c r="J743" s="49"/>
      <c r="K743" s="49"/>
      <c r="L743" s="49"/>
    </row>
    <row r="744" ht="12.75" customHeight="1">
      <c r="A744" s="64"/>
      <c r="J744" s="49"/>
      <c r="K744" s="49"/>
      <c r="L744" s="49"/>
    </row>
    <row r="745" ht="12.75" customHeight="1">
      <c r="A745" s="64"/>
      <c r="J745" s="49"/>
      <c r="K745" s="49"/>
      <c r="L745" s="49"/>
    </row>
    <row r="746" ht="12.75" customHeight="1">
      <c r="A746" s="64"/>
      <c r="J746" s="49"/>
      <c r="K746" s="49"/>
      <c r="L746" s="49"/>
    </row>
    <row r="747" ht="12.75" customHeight="1">
      <c r="A747" s="64"/>
      <c r="J747" s="49"/>
      <c r="K747" s="49"/>
      <c r="L747" s="49"/>
    </row>
    <row r="748" ht="12.75" customHeight="1">
      <c r="A748" s="64"/>
      <c r="J748" s="49"/>
      <c r="K748" s="49"/>
      <c r="L748" s="49"/>
    </row>
    <row r="749" ht="12.75" customHeight="1">
      <c r="A749" s="64"/>
      <c r="J749" s="49"/>
      <c r="K749" s="49"/>
      <c r="L749" s="49"/>
    </row>
    <row r="750" ht="12.75" customHeight="1">
      <c r="A750" s="64"/>
      <c r="J750" s="49"/>
      <c r="K750" s="49"/>
      <c r="L750" s="49"/>
    </row>
    <row r="751" ht="12.75" customHeight="1">
      <c r="A751" s="64"/>
      <c r="J751" s="49"/>
      <c r="K751" s="49"/>
      <c r="L751" s="49"/>
    </row>
    <row r="752" ht="12.75" customHeight="1">
      <c r="A752" s="64"/>
      <c r="J752" s="49"/>
      <c r="K752" s="49"/>
      <c r="L752" s="49"/>
    </row>
    <row r="753" ht="12.75" customHeight="1">
      <c r="A753" s="64"/>
      <c r="J753" s="49"/>
      <c r="K753" s="49"/>
      <c r="L753" s="49"/>
    </row>
    <row r="754" ht="12.75" customHeight="1">
      <c r="A754" s="64"/>
      <c r="J754" s="49"/>
      <c r="K754" s="49"/>
      <c r="L754" s="49"/>
    </row>
    <row r="755" ht="12.75" customHeight="1">
      <c r="A755" s="64"/>
      <c r="J755" s="49"/>
      <c r="K755" s="49"/>
      <c r="L755" s="49"/>
    </row>
    <row r="756" ht="12.75" customHeight="1">
      <c r="A756" s="64"/>
      <c r="J756" s="49"/>
      <c r="K756" s="49"/>
      <c r="L756" s="49"/>
    </row>
    <row r="757" ht="12.75" customHeight="1">
      <c r="A757" s="64"/>
      <c r="J757" s="49"/>
      <c r="K757" s="49"/>
      <c r="L757" s="49"/>
    </row>
    <row r="758" ht="12.75" customHeight="1">
      <c r="A758" s="64"/>
      <c r="J758" s="49"/>
      <c r="K758" s="49"/>
      <c r="L758" s="49"/>
    </row>
    <row r="759" ht="12.75" customHeight="1">
      <c r="A759" s="64"/>
      <c r="J759" s="49"/>
      <c r="K759" s="49"/>
      <c r="L759" s="49"/>
    </row>
    <row r="760" ht="12.75" customHeight="1">
      <c r="A760" s="64"/>
      <c r="J760" s="49"/>
      <c r="K760" s="49"/>
      <c r="L760" s="49"/>
    </row>
    <row r="761" ht="12.75" customHeight="1">
      <c r="A761" s="64"/>
      <c r="J761" s="49"/>
      <c r="K761" s="49"/>
      <c r="L761" s="49"/>
    </row>
    <row r="762" ht="12.75" customHeight="1">
      <c r="A762" s="64"/>
      <c r="J762" s="49"/>
      <c r="K762" s="49"/>
      <c r="L762" s="49"/>
    </row>
    <row r="763" ht="12.75" customHeight="1">
      <c r="A763" s="64"/>
      <c r="J763" s="49"/>
      <c r="K763" s="49"/>
      <c r="L763" s="49"/>
    </row>
    <row r="764" ht="12.75" customHeight="1">
      <c r="A764" s="64"/>
      <c r="J764" s="49"/>
      <c r="K764" s="49"/>
      <c r="L764" s="49"/>
    </row>
    <row r="765" ht="12.75" customHeight="1">
      <c r="A765" s="64"/>
      <c r="J765" s="49"/>
      <c r="K765" s="49"/>
      <c r="L765" s="49"/>
    </row>
    <row r="766" ht="12.75" customHeight="1">
      <c r="A766" s="64"/>
      <c r="J766" s="49"/>
      <c r="K766" s="49"/>
      <c r="L766" s="49"/>
    </row>
    <row r="767" ht="12.75" customHeight="1">
      <c r="A767" s="64"/>
      <c r="J767" s="49"/>
      <c r="K767" s="49"/>
      <c r="L767" s="49"/>
    </row>
    <row r="768" ht="12.75" customHeight="1">
      <c r="A768" s="64"/>
      <c r="J768" s="49"/>
      <c r="K768" s="49"/>
      <c r="L768" s="49"/>
    </row>
    <row r="769" ht="12.75" customHeight="1">
      <c r="A769" s="64"/>
      <c r="J769" s="49"/>
      <c r="K769" s="49"/>
      <c r="L769" s="49"/>
    </row>
    <row r="770" ht="12.75" customHeight="1">
      <c r="A770" s="64"/>
      <c r="J770" s="49"/>
      <c r="K770" s="49"/>
      <c r="L770" s="49"/>
    </row>
    <row r="771" ht="12.75" customHeight="1">
      <c r="A771" s="64"/>
      <c r="J771" s="49"/>
      <c r="K771" s="49"/>
      <c r="L771" s="49"/>
    </row>
    <row r="772" ht="12.75" customHeight="1">
      <c r="A772" s="64"/>
      <c r="J772" s="49"/>
      <c r="K772" s="49"/>
      <c r="L772" s="49"/>
    </row>
    <row r="773" ht="12.75" customHeight="1">
      <c r="A773" s="64"/>
      <c r="J773" s="49"/>
      <c r="K773" s="49"/>
      <c r="L773" s="49"/>
    </row>
    <row r="774" ht="12.75" customHeight="1">
      <c r="A774" s="64"/>
      <c r="J774" s="49"/>
      <c r="K774" s="49"/>
      <c r="L774" s="49"/>
    </row>
    <row r="775" ht="12.75" customHeight="1">
      <c r="A775" s="64"/>
      <c r="J775" s="49"/>
      <c r="K775" s="49"/>
      <c r="L775" s="49"/>
    </row>
    <row r="776" ht="12.75" customHeight="1">
      <c r="A776" s="64"/>
      <c r="J776" s="49"/>
      <c r="K776" s="49"/>
      <c r="L776" s="49"/>
    </row>
    <row r="777" ht="12.75" customHeight="1">
      <c r="A777" s="64"/>
      <c r="J777" s="49"/>
      <c r="K777" s="49"/>
      <c r="L777" s="49"/>
    </row>
    <row r="778" ht="12.75" customHeight="1">
      <c r="A778" s="64"/>
      <c r="J778" s="49"/>
      <c r="K778" s="49"/>
      <c r="L778" s="49"/>
    </row>
    <row r="779" ht="12.75" customHeight="1">
      <c r="A779" s="64"/>
      <c r="J779" s="49"/>
      <c r="K779" s="49"/>
      <c r="L779" s="49"/>
    </row>
    <row r="780" ht="12.75" customHeight="1">
      <c r="A780" s="64"/>
      <c r="J780" s="49"/>
      <c r="K780" s="49"/>
      <c r="L780" s="49"/>
    </row>
    <row r="781" ht="12.75" customHeight="1">
      <c r="A781" s="64"/>
      <c r="J781" s="49"/>
      <c r="K781" s="49"/>
      <c r="L781" s="49"/>
    </row>
    <row r="782" ht="12.75" customHeight="1">
      <c r="A782" s="64"/>
      <c r="J782" s="49"/>
      <c r="K782" s="49"/>
      <c r="L782" s="49"/>
    </row>
    <row r="783" ht="12.75" customHeight="1">
      <c r="A783" s="64"/>
      <c r="J783" s="49"/>
      <c r="K783" s="49"/>
      <c r="L783" s="49"/>
    </row>
    <row r="784" ht="12.75" customHeight="1">
      <c r="A784" s="64"/>
      <c r="J784" s="49"/>
      <c r="K784" s="49"/>
      <c r="L784" s="49"/>
    </row>
    <row r="785" ht="12.75" customHeight="1">
      <c r="A785" s="64"/>
      <c r="J785" s="49"/>
      <c r="K785" s="49"/>
      <c r="L785" s="49"/>
    </row>
    <row r="786" ht="12.75" customHeight="1">
      <c r="A786" s="64"/>
      <c r="J786" s="49"/>
      <c r="K786" s="49"/>
      <c r="L786" s="49"/>
    </row>
    <row r="787" ht="12.75" customHeight="1">
      <c r="A787" s="64"/>
      <c r="J787" s="49"/>
      <c r="K787" s="49"/>
      <c r="L787" s="49"/>
    </row>
    <row r="788" ht="12.75" customHeight="1">
      <c r="A788" s="64"/>
      <c r="J788" s="49"/>
      <c r="K788" s="49"/>
      <c r="L788" s="49"/>
    </row>
    <row r="789" ht="12.75" customHeight="1">
      <c r="A789" s="64"/>
      <c r="J789" s="49"/>
      <c r="K789" s="49"/>
      <c r="L789" s="49"/>
    </row>
    <row r="790" ht="12.75" customHeight="1">
      <c r="A790" s="64"/>
      <c r="J790" s="49"/>
      <c r="K790" s="49"/>
      <c r="L790" s="49"/>
    </row>
    <row r="791" ht="12.75" customHeight="1">
      <c r="A791" s="64"/>
      <c r="J791" s="49"/>
      <c r="K791" s="49"/>
      <c r="L791" s="49"/>
    </row>
    <row r="792" ht="12.75" customHeight="1">
      <c r="A792" s="64"/>
      <c r="J792" s="49"/>
      <c r="K792" s="49"/>
      <c r="L792" s="49"/>
    </row>
    <row r="793" ht="12.75" customHeight="1">
      <c r="A793" s="64"/>
      <c r="J793" s="49"/>
      <c r="K793" s="49"/>
      <c r="L793" s="49"/>
    </row>
    <row r="794" ht="12.75" customHeight="1">
      <c r="A794" s="64"/>
      <c r="J794" s="49"/>
      <c r="K794" s="49"/>
      <c r="L794" s="49"/>
    </row>
    <row r="795" ht="12.75" customHeight="1">
      <c r="A795" s="64"/>
      <c r="J795" s="49"/>
      <c r="K795" s="49"/>
      <c r="L795" s="49"/>
    </row>
    <row r="796" ht="12.75" customHeight="1">
      <c r="A796" s="64"/>
      <c r="J796" s="49"/>
      <c r="K796" s="49"/>
      <c r="L796" s="49"/>
    </row>
    <row r="797" ht="12.75" customHeight="1">
      <c r="A797" s="64"/>
      <c r="J797" s="49"/>
      <c r="K797" s="49"/>
      <c r="L797" s="49"/>
    </row>
    <row r="798" ht="12.75" customHeight="1">
      <c r="A798" s="64"/>
      <c r="J798" s="49"/>
      <c r="K798" s="49"/>
      <c r="L798" s="49"/>
    </row>
    <row r="799" ht="12.75" customHeight="1">
      <c r="A799" s="64"/>
      <c r="J799" s="49"/>
      <c r="K799" s="49"/>
      <c r="L799" s="49"/>
    </row>
    <row r="800" ht="12.75" customHeight="1">
      <c r="A800" s="64"/>
      <c r="J800" s="49"/>
      <c r="K800" s="49"/>
      <c r="L800" s="49"/>
    </row>
    <row r="801" ht="12.75" customHeight="1">
      <c r="A801" s="64"/>
      <c r="J801" s="49"/>
      <c r="K801" s="49"/>
      <c r="L801" s="49"/>
    </row>
    <row r="802" ht="12.75" customHeight="1">
      <c r="A802" s="64"/>
      <c r="J802" s="49"/>
      <c r="K802" s="49"/>
      <c r="L802" s="49"/>
    </row>
    <row r="803" ht="12.75" customHeight="1">
      <c r="A803" s="64"/>
      <c r="J803" s="49"/>
      <c r="K803" s="49"/>
      <c r="L803" s="49"/>
    </row>
    <row r="804" ht="12.75" customHeight="1">
      <c r="A804" s="64"/>
      <c r="J804" s="49"/>
      <c r="K804" s="49"/>
      <c r="L804" s="49"/>
    </row>
    <row r="805" ht="12.75" customHeight="1">
      <c r="A805" s="64"/>
      <c r="J805" s="49"/>
      <c r="K805" s="49"/>
      <c r="L805" s="49"/>
    </row>
    <row r="806" ht="12.75" customHeight="1">
      <c r="A806" s="64"/>
      <c r="J806" s="49"/>
      <c r="K806" s="49"/>
      <c r="L806" s="49"/>
    </row>
    <row r="807" ht="12.75" customHeight="1">
      <c r="A807" s="64"/>
      <c r="J807" s="49"/>
      <c r="K807" s="49"/>
      <c r="L807" s="49"/>
    </row>
    <row r="808" ht="12.75" customHeight="1">
      <c r="A808" s="64"/>
      <c r="J808" s="49"/>
      <c r="K808" s="49"/>
      <c r="L808" s="49"/>
    </row>
    <row r="809" ht="12.75" customHeight="1">
      <c r="A809" s="64"/>
      <c r="J809" s="49"/>
      <c r="K809" s="49"/>
      <c r="L809" s="49"/>
    </row>
    <row r="810" ht="12.75" customHeight="1">
      <c r="A810" s="64"/>
      <c r="J810" s="49"/>
      <c r="K810" s="49"/>
      <c r="L810" s="49"/>
    </row>
    <row r="811" ht="12.75" customHeight="1">
      <c r="A811" s="64"/>
      <c r="J811" s="49"/>
      <c r="K811" s="49"/>
      <c r="L811" s="49"/>
    </row>
    <row r="812" ht="12.75" customHeight="1">
      <c r="A812" s="64"/>
      <c r="J812" s="49"/>
      <c r="K812" s="49"/>
      <c r="L812" s="49"/>
    </row>
    <row r="813" ht="12.75" customHeight="1">
      <c r="A813" s="64"/>
      <c r="J813" s="49"/>
      <c r="K813" s="49"/>
      <c r="L813" s="49"/>
    </row>
    <row r="814" ht="12.75" customHeight="1">
      <c r="A814" s="64"/>
      <c r="J814" s="49"/>
      <c r="K814" s="49"/>
      <c r="L814" s="49"/>
    </row>
    <row r="815" ht="12.75" customHeight="1">
      <c r="A815" s="64"/>
      <c r="J815" s="49"/>
      <c r="K815" s="49"/>
      <c r="L815" s="49"/>
    </row>
    <row r="816" ht="12.75" customHeight="1">
      <c r="A816" s="64"/>
      <c r="J816" s="49"/>
      <c r="K816" s="49"/>
      <c r="L816" s="49"/>
    </row>
    <row r="817" ht="12.75" customHeight="1">
      <c r="A817" s="64"/>
      <c r="J817" s="49"/>
      <c r="K817" s="49"/>
      <c r="L817" s="49"/>
    </row>
    <row r="818" ht="12.75" customHeight="1">
      <c r="A818" s="64"/>
      <c r="J818" s="49"/>
      <c r="K818" s="49"/>
      <c r="L818" s="49"/>
    </row>
    <row r="819" ht="12.75" customHeight="1">
      <c r="A819" s="64"/>
      <c r="J819" s="49"/>
      <c r="K819" s="49"/>
      <c r="L819" s="49"/>
    </row>
    <row r="820" ht="12.75" customHeight="1">
      <c r="A820" s="64"/>
      <c r="J820" s="49"/>
      <c r="K820" s="49"/>
      <c r="L820" s="49"/>
    </row>
    <row r="821" ht="12.75" customHeight="1">
      <c r="A821" s="64"/>
      <c r="J821" s="49"/>
      <c r="K821" s="49"/>
      <c r="L821" s="49"/>
    </row>
    <row r="822" ht="12.75" customHeight="1">
      <c r="A822" s="64"/>
      <c r="J822" s="49"/>
      <c r="K822" s="49"/>
      <c r="L822" s="49"/>
    </row>
    <row r="823" ht="12.75" customHeight="1">
      <c r="A823" s="64"/>
      <c r="J823" s="49"/>
      <c r="K823" s="49"/>
      <c r="L823" s="49"/>
    </row>
    <row r="824" ht="12.75" customHeight="1">
      <c r="A824" s="64"/>
      <c r="J824" s="49"/>
      <c r="K824" s="49"/>
      <c r="L824" s="49"/>
    </row>
    <row r="825" ht="12.75" customHeight="1">
      <c r="A825" s="64"/>
      <c r="J825" s="49"/>
      <c r="K825" s="49"/>
      <c r="L825" s="49"/>
    </row>
    <row r="826" ht="12.75" customHeight="1">
      <c r="A826" s="64"/>
      <c r="J826" s="49"/>
      <c r="K826" s="49"/>
      <c r="L826" s="49"/>
    </row>
    <row r="827" ht="12.75" customHeight="1">
      <c r="A827" s="64"/>
      <c r="J827" s="49"/>
      <c r="K827" s="49"/>
      <c r="L827" s="49"/>
    </row>
    <row r="828" ht="12.75" customHeight="1">
      <c r="A828" s="64"/>
      <c r="J828" s="49"/>
      <c r="K828" s="49"/>
      <c r="L828" s="49"/>
    </row>
    <row r="829" ht="12.75" customHeight="1">
      <c r="A829" s="64"/>
      <c r="J829" s="49"/>
      <c r="K829" s="49"/>
      <c r="L829" s="49"/>
    </row>
    <row r="830" ht="12.75" customHeight="1">
      <c r="A830" s="64"/>
      <c r="J830" s="49"/>
      <c r="K830" s="49"/>
      <c r="L830" s="49"/>
    </row>
    <row r="831" ht="12.75" customHeight="1">
      <c r="A831" s="64"/>
      <c r="J831" s="49"/>
      <c r="K831" s="49"/>
      <c r="L831" s="49"/>
    </row>
    <row r="832" ht="12.75" customHeight="1">
      <c r="A832" s="64"/>
      <c r="J832" s="49"/>
      <c r="K832" s="49"/>
      <c r="L832" s="49"/>
    </row>
    <row r="833" ht="12.75" customHeight="1">
      <c r="A833" s="64"/>
      <c r="J833" s="49"/>
      <c r="K833" s="49"/>
      <c r="L833" s="49"/>
    </row>
    <row r="834" ht="12.75" customHeight="1">
      <c r="A834" s="64"/>
      <c r="J834" s="49"/>
      <c r="K834" s="49"/>
      <c r="L834" s="49"/>
    </row>
    <row r="835" ht="12.75" customHeight="1">
      <c r="A835" s="64"/>
      <c r="J835" s="49"/>
      <c r="K835" s="49"/>
      <c r="L835" s="49"/>
    </row>
    <row r="836" ht="12.75" customHeight="1">
      <c r="A836" s="64"/>
      <c r="J836" s="49"/>
      <c r="K836" s="49"/>
      <c r="L836" s="49"/>
    </row>
    <row r="837" ht="12.75" customHeight="1">
      <c r="A837" s="64"/>
      <c r="J837" s="49"/>
      <c r="K837" s="49"/>
      <c r="L837" s="49"/>
    </row>
    <row r="838" ht="12.75" customHeight="1">
      <c r="A838" s="64"/>
      <c r="J838" s="49"/>
      <c r="K838" s="49"/>
      <c r="L838" s="49"/>
    </row>
    <row r="839" ht="12.75" customHeight="1">
      <c r="A839" s="64"/>
      <c r="J839" s="49"/>
      <c r="K839" s="49"/>
      <c r="L839" s="49"/>
    </row>
    <row r="840" ht="12.75" customHeight="1">
      <c r="A840" s="64"/>
      <c r="J840" s="49"/>
      <c r="K840" s="49"/>
      <c r="L840" s="49"/>
    </row>
    <row r="841" ht="12.75" customHeight="1">
      <c r="A841" s="64"/>
      <c r="J841" s="49"/>
      <c r="K841" s="49"/>
      <c r="L841" s="49"/>
    </row>
    <row r="842" ht="12.75" customHeight="1">
      <c r="A842" s="64"/>
      <c r="J842" s="49"/>
      <c r="K842" s="49"/>
      <c r="L842" s="49"/>
    </row>
    <row r="843" ht="12.75" customHeight="1">
      <c r="A843" s="64"/>
      <c r="J843" s="49"/>
      <c r="K843" s="49"/>
      <c r="L843" s="49"/>
    </row>
    <row r="844" ht="12.75" customHeight="1">
      <c r="A844" s="64"/>
      <c r="J844" s="49"/>
      <c r="K844" s="49"/>
      <c r="L844" s="49"/>
    </row>
    <row r="845" ht="12.75" customHeight="1">
      <c r="A845" s="64"/>
      <c r="J845" s="49"/>
      <c r="K845" s="49"/>
      <c r="L845" s="49"/>
    </row>
    <row r="846" ht="12.75" customHeight="1">
      <c r="A846" s="64"/>
      <c r="J846" s="49"/>
      <c r="K846" s="49"/>
      <c r="L846" s="49"/>
    </row>
    <row r="847" ht="12.75" customHeight="1">
      <c r="A847" s="64"/>
      <c r="J847" s="49"/>
      <c r="K847" s="49"/>
      <c r="L847" s="49"/>
    </row>
    <row r="848" ht="12.75" customHeight="1">
      <c r="A848" s="64"/>
      <c r="J848" s="49"/>
      <c r="K848" s="49"/>
      <c r="L848" s="49"/>
    </row>
    <row r="849" ht="12.75" customHeight="1">
      <c r="A849" s="64"/>
      <c r="J849" s="49"/>
      <c r="K849" s="49"/>
      <c r="L849" s="49"/>
    </row>
    <row r="850" ht="12.75" customHeight="1">
      <c r="A850" s="64"/>
      <c r="J850" s="49"/>
      <c r="K850" s="49"/>
      <c r="L850" s="49"/>
    </row>
    <row r="851" ht="12.75" customHeight="1">
      <c r="A851" s="64"/>
      <c r="J851" s="49"/>
      <c r="K851" s="49"/>
      <c r="L851" s="49"/>
    </row>
    <row r="852" ht="12.75" customHeight="1">
      <c r="A852" s="64"/>
      <c r="J852" s="49"/>
      <c r="K852" s="49"/>
      <c r="L852" s="49"/>
    </row>
    <row r="853" ht="12.75" customHeight="1">
      <c r="A853" s="64"/>
      <c r="J853" s="49"/>
      <c r="K853" s="49"/>
      <c r="L853" s="49"/>
    </row>
    <row r="854" ht="12.75" customHeight="1">
      <c r="A854" s="64"/>
      <c r="J854" s="49"/>
      <c r="K854" s="49"/>
      <c r="L854" s="49"/>
    </row>
    <row r="855" ht="12.75" customHeight="1">
      <c r="A855" s="64"/>
      <c r="J855" s="49"/>
      <c r="K855" s="49"/>
      <c r="L855" s="49"/>
    </row>
    <row r="856" ht="12.75" customHeight="1">
      <c r="A856" s="64"/>
      <c r="J856" s="49"/>
      <c r="K856" s="49"/>
      <c r="L856" s="49"/>
    </row>
    <row r="857" ht="12.75" customHeight="1">
      <c r="A857" s="64"/>
      <c r="J857" s="49"/>
      <c r="K857" s="49"/>
      <c r="L857" s="49"/>
    </row>
    <row r="858" ht="12.75" customHeight="1">
      <c r="A858" s="64"/>
      <c r="J858" s="49"/>
      <c r="K858" s="49"/>
      <c r="L858" s="49"/>
    </row>
    <row r="859" ht="12.75" customHeight="1">
      <c r="A859" s="64"/>
      <c r="J859" s="49"/>
      <c r="K859" s="49"/>
      <c r="L859" s="49"/>
    </row>
    <row r="860" ht="12.75" customHeight="1">
      <c r="A860" s="64"/>
      <c r="J860" s="49"/>
      <c r="K860" s="49"/>
      <c r="L860" s="49"/>
    </row>
    <row r="861" ht="12.75" customHeight="1">
      <c r="A861" s="64"/>
      <c r="J861" s="49"/>
      <c r="K861" s="49"/>
      <c r="L861" s="49"/>
    </row>
    <row r="862" ht="12.75" customHeight="1">
      <c r="A862" s="64"/>
      <c r="J862" s="49"/>
      <c r="K862" s="49"/>
      <c r="L862" s="49"/>
    </row>
    <row r="863" ht="12.75" customHeight="1">
      <c r="A863" s="64"/>
      <c r="J863" s="49"/>
      <c r="K863" s="49"/>
      <c r="L863" s="49"/>
    </row>
    <row r="864" ht="12.75" customHeight="1">
      <c r="A864" s="64"/>
      <c r="J864" s="49"/>
      <c r="K864" s="49"/>
      <c r="L864" s="49"/>
    </row>
    <row r="865" ht="12.75" customHeight="1">
      <c r="A865" s="64"/>
      <c r="J865" s="49"/>
      <c r="K865" s="49"/>
      <c r="L865" s="49"/>
    </row>
    <row r="866" ht="12.75" customHeight="1">
      <c r="A866" s="64"/>
      <c r="J866" s="49"/>
      <c r="K866" s="49"/>
      <c r="L866" s="49"/>
    </row>
    <row r="867" ht="12.75" customHeight="1">
      <c r="A867" s="64"/>
      <c r="J867" s="49"/>
      <c r="K867" s="49"/>
      <c r="L867" s="49"/>
    </row>
    <row r="868" ht="12.75" customHeight="1">
      <c r="A868" s="64"/>
      <c r="J868" s="49"/>
      <c r="K868" s="49"/>
      <c r="L868" s="49"/>
    </row>
    <row r="869" ht="12.75" customHeight="1">
      <c r="A869" s="64"/>
      <c r="J869" s="49"/>
      <c r="K869" s="49"/>
      <c r="L869" s="49"/>
    </row>
    <row r="870" ht="12.75" customHeight="1">
      <c r="A870" s="64"/>
      <c r="J870" s="49"/>
      <c r="K870" s="49"/>
      <c r="L870" s="49"/>
    </row>
    <row r="871" ht="12.75" customHeight="1">
      <c r="A871" s="64"/>
      <c r="J871" s="49"/>
      <c r="K871" s="49"/>
      <c r="L871" s="49"/>
    </row>
    <row r="872" ht="12.75" customHeight="1">
      <c r="A872" s="64"/>
      <c r="J872" s="49"/>
      <c r="K872" s="49"/>
      <c r="L872" s="49"/>
    </row>
    <row r="873" ht="12.75" customHeight="1">
      <c r="A873" s="64"/>
      <c r="J873" s="49"/>
      <c r="K873" s="49"/>
      <c r="L873" s="49"/>
    </row>
    <row r="874" ht="12.75" customHeight="1">
      <c r="A874" s="64"/>
      <c r="J874" s="49"/>
      <c r="K874" s="49"/>
      <c r="L874" s="49"/>
    </row>
    <row r="875" ht="12.75" customHeight="1">
      <c r="A875" s="64"/>
      <c r="J875" s="49"/>
      <c r="K875" s="49"/>
      <c r="L875" s="49"/>
    </row>
    <row r="876" ht="12.75" customHeight="1">
      <c r="A876" s="64"/>
      <c r="J876" s="49"/>
      <c r="K876" s="49"/>
      <c r="L876" s="49"/>
    </row>
    <row r="877" ht="12.75" customHeight="1">
      <c r="A877" s="64"/>
      <c r="J877" s="49"/>
      <c r="K877" s="49"/>
      <c r="L877" s="49"/>
    </row>
    <row r="878" ht="12.75" customHeight="1">
      <c r="A878" s="64"/>
      <c r="J878" s="49"/>
      <c r="K878" s="49"/>
      <c r="L878" s="49"/>
    </row>
    <row r="879" ht="12.75" customHeight="1">
      <c r="A879" s="64"/>
      <c r="J879" s="49"/>
      <c r="K879" s="49"/>
      <c r="L879" s="49"/>
    </row>
    <row r="880" ht="12.75" customHeight="1">
      <c r="A880" s="64"/>
      <c r="J880" s="49"/>
      <c r="K880" s="49"/>
      <c r="L880" s="49"/>
    </row>
    <row r="881" ht="12.75" customHeight="1">
      <c r="A881" s="64"/>
      <c r="J881" s="49"/>
      <c r="K881" s="49"/>
      <c r="L881" s="49"/>
    </row>
    <row r="882" ht="12.75" customHeight="1">
      <c r="A882" s="64"/>
      <c r="J882" s="49"/>
      <c r="K882" s="49"/>
      <c r="L882" s="49"/>
    </row>
    <row r="883" ht="12.75" customHeight="1">
      <c r="A883" s="64"/>
      <c r="J883" s="49"/>
      <c r="K883" s="49"/>
      <c r="L883" s="49"/>
    </row>
    <row r="884" ht="12.75" customHeight="1">
      <c r="A884" s="64"/>
      <c r="J884" s="49"/>
      <c r="K884" s="49"/>
      <c r="L884" s="49"/>
    </row>
    <row r="885" ht="12.75" customHeight="1">
      <c r="A885" s="64"/>
      <c r="J885" s="49"/>
      <c r="K885" s="49"/>
      <c r="L885" s="49"/>
    </row>
    <row r="886" ht="12.75" customHeight="1">
      <c r="A886" s="64"/>
      <c r="J886" s="49"/>
      <c r="K886" s="49"/>
      <c r="L886" s="49"/>
    </row>
    <row r="887" ht="12.75" customHeight="1">
      <c r="A887" s="64"/>
      <c r="J887" s="49"/>
      <c r="K887" s="49"/>
      <c r="L887" s="49"/>
    </row>
    <row r="888" ht="12.75" customHeight="1">
      <c r="A888" s="64"/>
      <c r="J888" s="49"/>
      <c r="K888" s="49"/>
      <c r="L888" s="49"/>
    </row>
    <row r="889" ht="12.75" customHeight="1">
      <c r="A889" s="64"/>
      <c r="J889" s="49"/>
      <c r="K889" s="49"/>
      <c r="L889" s="49"/>
    </row>
    <row r="890" ht="12.75" customHeight="1">
      <c r="A890" s="64"/>
      <c r="J890" s="49"/>
      <c r="K890" s="49"/>
      <c r="L890" s="49"/>
    </row>
    <row r="891" ht="12.75" customHeight="1">
      <c r="A891" s="64"/>
      <c r="J891" s="49"/>
      <c r="K891" s="49"/>
      <c r="L891" s="49"/>
    </row>
    <row r="892" ht="12.75" customHeight="1">
      <c r="A892" s="64"/>
      <c r="J892" s="49"/>
      <c r="K892" s="49"/>
      <c r="L892" s="49"/>
    </row>
    <row r="893" ht="12.75" customHeight="1">
      <c r="A893" s="64"/>
      <c r="J893" s="49"/>
      <c r="K893" s="49"/>
      <c r="L893" s="49"/>
    </row>
    <row r="894" ht="12.75" customHeight="1">
      <c r="A894" s="64"/>
      <c r="J894" s="49"/>
      <c r="K894" s="49"/>
      <c r="L894" s="49"/>
    </row>
    <row r="895" ht="12.75" customHeight="1">
      <c r="A895" s="64"/>
      <c r="J895" s="49"/>
      <c r="K895" s="49"/>
      <c r="L895" s="49"/>
    </row>
    <row r="896" ht="12.75" customHeight="1">
      <c r="A896" s="64"/>
      <c r="J896" s="49"/>
      <c r="K896" s="49"/>
      <c r="L896" s="49"/>
    </row>
    <row r="897" ht="12.75" customHeight="1">
      <c r="A897" s="64"/>
      <c r="J897" s="49"/>
      <c r="K897" s="49"/>
      <c r="L897" s="49"/>
    </row>
    <row r="898" ht="12.75" customHeight="1">
      <c r="A898" s="64"/>
      <c r="J898" s="49"/>
      <c r="K898" s="49"/>
      <c r="L898" s="49"/>
    </row>
    <row r="899" ht="12.75" customHeight="1">
      <c r="A899" s="64"/>
      <c r="J899" s="49"/>
      <c r="K899" s="49"/>
      <c r="L899" s="49"/>
    </row>
    <row r="900" ht="12.75" customHeight="1">
      <c r="A900" s="64"/>
      <c r="J900" s="49"/>
      <c r="K900" s="49"/>
      <c r="L900" s="49"/>
    </row>
    <row r="901" ht="12.75" customHeight="1">
      <c r="A901" s="64"/>
      <c r="J901" s="49"/>
      <c r="K901" s="49"/>
      <c r="L901" s="49"/>
    </row>
    <row r="902" ht="12.75" customHeight="1">
      <c r="A902" s="64"/>
      <c r="J902" s="49"/>
      <c r="K902" s="49"/>
      <c r="L902" s="49"/>
    </row>
    <row r="903" ht="12.75" customHeight="1">
      <c r="A903" s="64"/>
      <c r="J903" s="49"/>
      <c r="K903" s="49"/>
      <c r="L903" s="49"/>
    </row>
    <row r="904" ht="12.75" customHeight="1">
      <c r="A904" s="64"/>
      <c r="J904" s="49"/>
      <c r="K904" s="49"/>
      <c r="L904" s="49"/>
    </row>
    <row r="905" ht="12.75" customHeight="1">
      <c r="A905" s="64"/>
      <c r="J905" s="49"/>
      <c r="K905" s="49"/>
      <c r="L905" s="49"/>
    </row>
    <row r="906" ht="12.75" customHeight="1">
      <c r="A906" s="64"/>
      <c r="J906" s="49"/>
      <c r="K906" s="49"/>
      <c r="L906" s="49"/>
    </row>
    <row r="907" ht="12.75" customHeight="1">
      <c r="A907" s="64"/>
      <c r="J907" s="49"/>
      <c r="K907" s="49"/>
      <c r="L907" s="49"/>
    </row>
    <row r="908" ht="12.75" customHeight="1">
      <c r="A908" s="64"/>
      <c r="J908" s="49"/>
      <c r="K908" s="49"/>
      <c r="L908" s="49"/>
    </row>
    <row r="909" ht="12.75" customHeight="1">
      <c r="A909" s="64"/>
      <c r="J909" s="49"/>
      <c r="K909" s="49"/>
      <c r="L909" s="49"/>
    </row>
    <row r="910" ht="12.75" customHeight="1">
      <c r="A910" s="64"/>
      <c r="J910" s="49"/>
      <c r="K910" s="49"/>
      <c r="L910" s="49"/>
    </row>
    <row r="911" ht="12.75" customHeight="1">
      <c r="A911" s="64"/>
      <c r="J911" s="49"/>
      <c r="K911" s="49"/>
      <c r="L911" s="49"/>
    </row>
    <row r="912" ht="12.75" customHeight="1">
      <c r="A912" s="64"/>
      <c r="J912" s="49"/>
      <c r="K912" s="49"/>
      <c r="L912" s="49"/>
    </row>
    <row r="913" ht="12.75" customHeight="1">
      <c r="A913" s="64"/>
      <c r="J913" s="49"/>
      <c r="K913" s="49"/>
      <c r="L913" s="49"/>
    </row>
    <row r="914" ht="12.75" customHeight="1">
      <c r="A914" s="64"/>
      <c r="J914" s="49"/>
      <c r="K914" s="49"/>
      <c r="L914" s="49"/>
    </row>
    <row r="915" ht="12.75" customHeight="1">
      <c r="A915" s="64"/>
      <c r="J915" s="49"/>
      <c r="K915" s="49"/>
      <c r="L915" s="49"/>
    </row>
    <row r="916" ht="12.75" customHeight="1">
      <c r="A916" s="64"/>
      <c r="J916" s="49"/>
      <c r="K916" s="49"/>
      <c r="L916" s="49"/>
    </row>
    <row r="917" ht="12.75" customHeight="1">
      <c r="A917" s="64"/>
      <c r="J917" s="49"/>
      <c r="K917" s="49"/>
      <c r="L917" s="49"/>
    </row>
    <row r="918" ht="12.75" customHeight="1">
      <c r="A918" s="64"/>
      <c r="J918" s="49"/>
      <c r="K918" s="49"/>
      <c r="L918" s="49"/>
    </row>
    <row r="919" ht="12.75" customHeight="1">
      <c r="A919" s="64"/>
      <c r="J919" s="49"/>
      <c r="K919" s="49"/>
      <c r="L919" s="49"/>
    </row>
    <row r="920" ht="12.75" customHeight="1">
      <c r="A920" s="64"/>
      <c r="J920" s="49"/>
      <c r="K920" s="49"/>
      <c r="L920" s="49"/>
    </row>
    <row r="921" ht="12.75" customHeight="1">
      <c r="A921" s="64"/>
      <c r="J921" s="49"/>
      <c r="K921" s="49"/>
      <c r="L921" s="49"/>
    </row>
    <row r="922" ht="12.75" customHeight="1">
      <c r="A922" s="64"/>
      <c r="J922" s="49"/>
      <c r="K922" s="49"/>
      <c r="L922" s="49"/>
    </row>
    <row r="923" ht="12.75" customHeight="1">
      <c r="A923" s="64"/>
      <c r="J923" s="49"/>
      <c r="K923" s="49"/>
      <c r="L923" s="49"/>
    </row>
    <row r="924" ht="12.75" customHeight="1">
      <c r="A924" s="64"/>
      <c r="J924" s="49"/>
      <c r="K924" s="49"/>
      <c r="L924" s="49"/>
    </row>
    <row r="925" ht="12.75" customHeight="1">
      <c r="A925" s="64"/>
      <c r="J925" s="49"/>
      <c r="K925" s="49"/>
      <c r="L925" s="49"/>
    </row>
    <row r="926" ht="12.75" customHeight="1">
      <c r="A926" s="64"/>
      <c r="J926" s="49"/>
      <c r="K926" s="49"/>
      <c r="L926" s="49"/>
    </row>
    <row r="927" ht="12.75" customHeight="1">
      <c r="A927" s="64"/>
      <c r="J927" s="49"/>
      <c r="K927" s="49"/>
      <c r="L927" s="49"/>
    </row>
    <row r="928" ht="12.75" customHeight="1">
      <c r="A928" s="64"/>
      <c r="J928" s="49"/>
      <c r="K928" s="49"/>
      <c r="L928" s="49"/>
    </row>
    <row r="929" ht="12.75" customHeight="1">
      <c r="A929" s="64"/>
      <c r="J929" s="49"/>
      <c r="K929" s="49"/>
      <c r="L929" s="49"/>
    </row>
    <row r="930" ht="12.75" customHeight="1">
      <c r="A930" s="64"/>
      <c r="J930" s="49"/>
      <c r="K930" s="49"/>
      <c r="L930" s="49"/>
    </row>
    <row r="931" ht="12.75" customHeight="1">
      <c r="A931" s="64"/>
      <c r="J931" s="49"/>
      <c r="K931" s="49"/>
      <c r="L931" s="49"/>
    </row>
    <row r="932" ht="12.75" customHeight="1">
      <c r="A932" s="64"/>
      <c r="J932" s="49"/>
      <c r="K932" s="49"/>
      <c r="L932" s="49"/>
    </row>
    <row r="933" ht="12.75" customHeight="1">
      <c r="A933" s="64"/>
      <c r="J933" s="49"/>
      <c r="K933" s="49"/>
      <c r="L933" s="49"/>
    </row>
    <row r="934" ht="12.75" customHeight="1">
      <c r="A934" s="64"/>
      <c r="J934" s="49"/>
      <c r="K934" s="49"/>
      <c r="L934" s="49"/>
    </row>
    <row r="935" ht="12.75" customHeight="1">
      <c r="A935" s="64"/>
      <c r="J935" s="49"/>
      <c r="K935" s="49"/>
      <c r="L935" s="49"/>
    </row>
    <row r="936" ht="12.75" customHeight="1">
      <c r="A936" s="64"/>
      <c r="J936" s="49"/>
      <c r="K936" s="49"/>
      <c r="L936" s="49"/>
    </row>
    <row r="937" ht="12.75" customHeight="1">
      <c r="A937" s="64"/>
      <c r="J937" s="49"/>
      <c r="K937" s="49"/>
      <c r="L937" s="49"/>
    </row>
    <row r="938" ht="12.75" customHeight="1">
      <c r="A938" s="64"/>
      <c r="J938" s="49"/>
      <c r="K938" s="49"/>
      <c r="L938" s="49"/>
    </row>
    <row r="939" ht="12.75" customHeight="1">
      <c r="A939" s="64"/>
      <c r="J939" s="49"/>
      <c r="K939" s="49"/>
      <c r="L939" s="49"/>
    </row>
    <row r="940" ht="12.75" customHeight="1">
      <c r="A940" s="64"/>
      <c r="J940" s="49"/>
      <c r="K940" s="49"/>
      <c r="L940" s="49"/>
    </row>
    <row r="941" ht="12.75" customHeight="1">
      <c r="A941" s="64"/>
      <c r="J941" s="49"/>
      <c r="K941" s="49"/>
      <c r="L941" s="49"/>
    </row>
    <row r="942" ht="12.75" customHeight="1">
      <c r="A942" s="64"/>
      <c r="J942" s="49"/>
      <c r="K942" s="49"/>
      <c r="L942" s="49"/>
    </row>
    <row r="943" ht="12.75" customHeight="1">
      <c r="A943" s="64"/>
      <c r="J943" s="49"/>
      <c r="K943" s="49"/>
      <c r="L943" s="49"/>
    </row>
    <row r="944" ht="12.75" customHeight="1">
      <c r="A944" s="64"/>
      <c r="J944" s="49"/>
      <c r="K944" s="49"/>
      <c r="L944" s="49"/>
    </row>
    <row r="945" ht="12.75" customHeight="1">
      <c r="A945" s="64"/>
      <c r="J945" s="49"/>
      <c r="K945" s="49"/>
      <c r="L945" s="49"/>
    </row>
    <row r="946" ht="12.75" customHeight="1">
      <c r="A946" s="64"/>
      <c r="J946" s="49"/>
      <c r="K946" s="49"/>
      <c r="L946" s="49"/>
    </row>
    <row r="947" ht="12.75" customHeight="1">
      <c r="A947" s="64"/>
      <c r="J947" s="49"/>
      <c r="K947" s="49"/>
      <c r="L947" s="49"/>
    </row>
    <row r="948" ht="12.75" customHeight="1">
      <c r="A948" s="64"/>
      <c r="J948" s="49"/>
      <c r="K948" s="49"/>
      <c r="L948" s="49"/>
    </row>
    <row r="949" ht="12.75" customHeight="1">
      <c r="A949" s="64"/>
      <c r="J949" s="49"/>
      <c r="K949" s="49"/>
      <c r="L949" s="49"/>
    </row>
    <row r="950" ht="12.75" customHeight="1">
      <c r="A950" s="64"/>
      <c r="J950" s="49"/>
      <c r="K950" s="49"/>
      <c r="L950" s="49"/>
    </row>
    <row r="951" ht="12.75" customHeight="1">
      <c r="A951" s="64"/>
      <c r="J951" s="49"/>
      <c r="K951" s="49"/>
      <c r="L951" s="49"/>
    </row>
    <row r="952" ht="12.75" customHeight="1">
      <c r="A952" s="64"/>
      <c r="J952" s="49"/>
      <c r="K952" s="49"/>
      <c r="L952" s="49"/>
    </row>
    <row r="953" ht="12.75" customHeight="1">
      <c r="A953" s="64"/>
      <c r="J953" s="49"/>
      <c r="K953" s="49"/>
      <c r="L953" s="49"/>
    </row>
    <row r="954" ht="12.75" customHeight="1">
      <c r="A954" s="64"/>
      <c r="J954" s="49"/>
      <c r="K954" s="49"/>
      <c r="L954" s="49"/>
    </row>
    <row r="955" ht="12.75" customHeight="1">
      <c r="A955" s="64"/>
      <c r="J955" s="49"/>
      <c r="K955" s="49"/>
      <c r="L955" s="49"/>
    </row>
    <row r="956" ht="12.75" customHeight="1">
      <c r="A956" s="64"/>
      <c r="J956" s="49"/>
      <c r="K956" s="49"/>
      <c r="L956" s="49"/>
    </row>
    <row r="957" ht="12.75" customHeight="1">
      <c r="A957" s="64"/>
      <c r="J957" s="49"/>
      <c r="K957" s="49"/>
      <c r="L957" s="49"/>
    </row>
    <row r="958" ht="12.75" customHeight="1">
      <c r="A958" s="64"/>
      <c r="J958" s="49"/>
      <c r="K958" s="49"/>
      <c r="L958" s="49"/>
    </row>
    <row r="959" ht="12.75" customHeight="1">
      <c r="A959" s="64"/>
      <c r="J959" s="49"/>
      <c r="K959" s="49"/>
      <c r="L959" s="49"/>
    </row>
    <row r="960" ht="12.75" customHeight="1">
      <c r="A960" s="64"/>
      <c r="J960" s="49"/>
      <c r="K960" s="49"/>
      <c r="L960" s="49"/>
    </row>
    <row r="961" ht="12.75" customHeight="1">
      <c r="A961" s="64"/>
      <c r="J961" s="49"/>
      <c r="K961" s="49"/>
      <c r="L961" s="49"/>
    </row>
    <row r="962" ht="12.75" customHeight="1">
      <c r="A962" s="64"/>
      <c r="J962" s="49"/>
      <c r="K962" s="49"/>
      <c r="L962" s="49"/>
    </row>
    <row r="963" ht="12.75" customHeight="1">
      <c r="A963" s="64"/>
      <c r="J963" s="49"/>
      <c r="K963" s="49"/>
      <c r="L963" s="49"/>
    </row>
    <row r="964" ht="12.75" customHeight="1">
      <c r="A964" s="64"/>
      <c r="J964" s="49"/>
      <c r="K964" s="49"/>
      <c r="L964" s="49"/>
    </row>
    <row r="965" ht="12.75" customHeight="1">
      <c r="A965" s="64"/>
      <c r="J965" s="49"/>
      <c r="K965" s="49"/>
      <c r="L965" s="49"/>
    </row>
    <row r="966" ht="12.75" customHeight="1">
      <c r="A966" s="64"/>
      <c r="J966" s="49"/>
      <c r="K966" s="49"/>
      <c r="L966" s="49"/>
    </row>
    <row r="967" ht="12.75" customHeight="1">
      <c r="A967" s="64"/>
      <c r="J967" s="49"/>
      <c r="K967" s="49"/>
      <c r="L967" s="49"/>
    </row>
    <row r="968" ht="12.75" customHeight="1">
      <c r="A968" s="64"/>
      <c r="J968" s="49"/>
      <c r="K968" s="49"/>
      <c r="L968" s="49"/>
    </row>
    <row r="969" ht="12.75" customHeight="1">
      <c r="A969" s="64"/>
      <c r="J969" s="49"/>
      <c r="K969" s="49"/>
      <c r="L969" s="49"/>
    </row>
    <row r="970" ht="12.75" customHeight="1">
      <c r="A970" s="64"/>
      <c r="J970" s="49"/>
      <c r="K970" s="49"/>
      <c r="L970" s="49"/>
    </row>
    <row r="971" ht="12.75" customHeight="1">
      <c r="A971" s="64"/>
      <c r="J971" s="49"/>
      <c r="K971" s="49"/>
      <c r="L971" s="49"/>
    </row>
    <row r="972" ht="12.75" customHeight="1">
      <c r="A972" s="64"/>
      <c r="J972" s="49"/>
      <c r="K972" s="49"/>
      <c r="L972" s="49"/>
    </row>
    <row r="973" ht="12.75" customHeight="1">
      <c r="A973" s="64"/>
      <c r="J973" s="49"/>
      <c r="K973" s="49"/>
      <c r="L973" s="49"/>
    </row>
    <row r="974" ht="12.75" customHeight="1">
      <c r="A974" s="64"/>
      <c r="J974" s="49"/>
      <c r="K974" s="49"/>
      <c r="L974" s="49"/>
    </row>
    <row r="975" ht="12.75" customHeight="1">
      <c r="A975" s="64"/>
      <c r="J975" s="49"/>
      <c r="K975" s="49"/>
      <c r="L975" s="49"/>
    </row>
    <row r="976" ht="12.75" customHeight="1">
      <c r="A976" s="64"/>
      <c r="J976" s="49"/>
      <c r="K976" s="49"/>
      <c r="L976" s="49"/>
    </row>
    <row r="977" ht="12.75" customHeight="1">
      <c r="A977" s="64"/>
      <c r="J977" s="49"/>
      <c r="K977" s="49"/>
      <c r="L977" s="49"/>
    </row>
    <row r="978" ht="12.75" customHeight="1">
      <c r="A978" s="64"/>
      <c r="J978" s="49"/>
      <c r="K978" s="49"/>
      <c r="L978" s="49"/>
    </row>
    <row r="979" ht="12.75" customHeight="1">
      <c r="A979" s="64"/>
      <c r="J979" s="49"/>
      <c r="K979" s="49"/>
      <c r="L979" s="49"/>
    </row>
    <row r="980" ht="12.75" customHeight="1">
      <c r="A980" s="64"/>
      <c r="J980" s="49"/>
      <c r="K980" s="49"/>
      <c r="L980" s="49"/>
    </row>
    <row r="981" ht="12.75" customHeight="1">
      <c r="A981" s="64"/>
      <c r="J981" s="49"/>
      <c r="K981" s="49"/>
      <c r="L981" s="49"/>
    </row>
    <row r="982" ht="12.75" customHeight="1">
      <c r="A982" s="64"/>
      <c r="J982" s="49"/>
      <c r="K982" s="49"/>
      <c r="L982" s="49"/>
    </row>
    <row r="983" ht="12.75" customHeight="1">
      <c r="A983" s="64"/>
      <c r="J983" s="49"/>
      <c r="K983" s="49"/>
      <c r="L983" s="49"/>
    </row>
    <row r="984" ht="12.75" customHeight="1">
      <c r="A984" s="64"/>
      <c r="J984" s="49"/>
      <c r="K984" s="49"/>
      <c r="L984" s="49"/>
    </row>
    <row r="985" ht="12.75" customHeight="1">
      <c r="A985" s="64"/>
      <c r="J985" s="49"/>
      <c r="K985" s="49"/>
      <c r="L985" s="49"/>
    </row>
    <row r="986" ht="12.75" customHeight="1">
      <c r="A986" s="64"/>
      <c r="J986" s="49"/>
      <c r="K986" s="49"/>
      <c r="L986" s="49"/>
    </row>
    <row r="987" ht="12.75" customHeight="1">
      <c r="A987" s="64"/>
      <c r="J987" s="49"/>
      <c r="K987" s="49"/>
      <c r="L987" s="49"/>
    </row>
    <row r="988" ht="12.75" customHeight="1">
      <c r="A988" s="64"/>
      <c r="J988" s="49"/>
      <c r="K988" s="49"/>
      <c r="L988" s="49"/>
    </row>
    <row r="989" ht="12.75" customHeight="1">
      <c r="A989" s="64"/>
      <c r="J989" s="49"/>
      <c r="K989" s="49"/>
      <c r="L989" s="49"/>
    </row>
    <row r="990" ht="12.75" customHeight="1">
      <c r="A990" s="64"/>
      <c r="J990" s="49"/>
      <c r="K990" s="49"/>
      <c r="L990" s="49"/>
    </row>
    <row r="991" ht="12.75" customHeight="1">
      <c r="A991" s="64"/>
      <c r="J991" s="49"/>
      <c r="K991" s="49"/>
      <c r="L991" s="49"/>
    </row>
    <row r="992" ht="12.75" customHeight="1">
      <c r="A992" s="64"/>
      <c r="J992" s="49"/>
      <c r="K992" s="49"/>
      <c r="L992" s="49"/>
    </row>
    <row r="993" ht="12.75" customHeight="1">
      <c r="A993" s="64"/>
      <c r="J993" s="49"/>
      <c r="K993" s="49"/>
      <c r="L993" s="49"/>
    </row>
    <row r="994" ht="12.75" customHeight="1">
      <c r="A994" s="64"/>
      <c r="J994" s="49"/>
      <c r="K994" s="49"/>
      <c r="L994" s="49"/>
    </row>
    <row r="995" ht="12.75" customHeight="1">
      <c r="A995" s="64"/>
      <c r="J995" s="49"/>
      <c r="K995" s="49"/>
      <c r="L995" s="49"/>
    </row>
    <row r="996" ht="12.75" customHeight="1">
      <c r="A996" s="64"/>
      <c r="J996" s="49"/>
      <c r="K996" s="49"/>
      <c r="L996" s="49"/>
    </row>
    <row r="997" ht="12.75" customHeight="1">
      <c r="A997" s="64"/>
      <c r="J997" s="49"/>
      <c r="K997" s="49"/>
      <c r="L997" s="49"/>
    </row>
    <row r="998" ht="12.75" customHeight="1">
      <c r="A998" s="64"/>
      <c r="J998" s="49"/>
      <c r="K998" s="49"/>
      <c r="L998" s="49"/>
    </row>
    <row r="999" ht="12.75" customHeight="1">
      <c r="A999" s="64"/>
      <c r="J999" s="49"/>
      <c r="K999" s="49"/>
      <c r="L999" s="49"/>
    </row>
    <row r="1000" ht="12.75" customHeight="1">
      <c r="A1000" s="64"/>
      <c r="J1000" s="49"/>
      <c r="K1000" s="49"/>
      <c r="L1000" s="49"/>
    </row>
    <row r="1001" ht="12.75" customHeight="1">
      <c r="A1001" s="64"/>
      <c r="J1001" s="49"/>
      <c r="K1001" s="49"/>
      <c r="L1001" s="49"/>
    </row>
  </sheetData>
  <printOptions/>
  <pageMargins bottom="1.0" footer="0.0" header="0.0" left="0.75" right="0.75" top="1.0"/>
  <pageSetup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38"/>
    <col customWidth="1" min="2" max="2" width="46.75"/>
    <col customWidth="1" hidden="1" min="3" max="3" width="14.13"/>
    <col customWidth="1" hidden="1" min="4" max="4" width="13.38"/>
    <col customWidth="1" hidden="1" min="5" max="9" width="10.88"/>
    <col customWidth="1" hidden="1" min="10" max="10" width="12.0"/>
    <col customWidth="1" hidden="1" min="11" max="11" width="8.13"/>
    <col customWidth="1" hidden="1" min="12" max="12" width="13.38"/>
    <col customWidth="1" min="13" max="13" width="13.88"/>
    <col customWidth="1" hidden="1" min="14" max="14" width="6.88"/>
    <col customWidth="1" min="15" max="26" width="9.13"/>
  </cols>
  <sheetData>
    <row r="1" ht="12.75" customHeight="1">
      <c r="A1" s="18" t="s">
        <v>94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 ht="12.75" customHeight="1">
      <c r="A2" s="19" t="s">
        <v>28</v>
      </c>
      <c r="B2" s="19"/>
      <c r="C2" s="19"/>
      <c r="D2" s="19"/>
      <c r="E2" s="19"/>
      <c r="F2" s="20"/>
      <c r="K2" s="19"/>
      <c r="L2" s="19"/>
    </row>
    <row r="3" ht="12.75" customHeight="1">
      <c r="A3" s="19" t="s">
        <v>29</v>
      </c>
      <c r="B3" s="19"/>
      <c r="K3" s="19"/>
      <c r="L3" s="19"/>
    </row>
    <row r="4" ht="12.75" customHeight="1">
      <c r="A4" s="52" t="s">
        <v>30</v>
      </c>
      <c r="B4" s="52" t="s">
        <v>3</v>
      </c>
      <c r="C4" s="52" t="s">
        <v>4</v>
      </c>
      <c r="D4" s="52" t="s">
        <v>5</v>
      </c>
      <c r="E4" s="24">
        <v>1.0</v>
      </c>
      <c r="F4" s="24">
        <v>2.0</v>
      </c>
      <c r="G4" s="24">
        <v>3.0</v>
      </c>
      <c r="H4" s="24">
        <v>4.0</v>
      </c>
      <c r="I4" s="24">
        <v>5.0</v>
      </c>
      <c r="J4" s="24" t="s">
        <v>31</v>
      </c>
      <c r="K4" s="65" t="s">
        <v>32</v>
      </c>
      <c r="L4" s="24" t="s">
        <v>33</v>
      </c>
      <c r="M4" s="24" t="s">
        <v>34</v>
      </c>
      <c r="N4" s="52" t="s">
        <v>32</v>
      </c>
    </row>
    <row r="5" ht="12.75" customHeight="1">
      <c r="A5" s="55">
        <f t="shared" ref="A5:A6" si="1">IF(AND(M4=M5,J4=J5),A4,ROW()-4)</f>
        <v>1</v>
      </c>
      <c r="B5" s="27" t="s">
        <v>95</v>
      </c>
      <c r="C5" s="56"/>
      <c r="D5" s="56"/>
      <c r="E5" s="57">
        <v>2.39</v>
      </c>
      <c r="F5" s="57">
        <v>2.39</v>
      </c>
      <c r="G5" s="57">
        <v>3.2</v>
      </c>
      <c r="H5" s="57">
        <v>2.11</v>
      </c>
      <c r="I5" s="57">
        <v>5.76</v>
      </c>
      <c r="J5" s="63">
        <f t="shared" ref="J5:J22" si="2">IF(MIN(E5:I5)&gt;0,MIN(E5:I5),IF(COUNTBLANK(E5:I5)=5,"","DNF"))</f>
        <v>2.11</v>
      </c>
      <c r="K5" s="63"/>
      <c r="L5" s="63">
        <f t="shared" ref="L5:L22" si="3">IF(COUNTBLANK(E5:I5)&gt;0,"",IF(COUNTIF(E5:I5,"DNF")+COUNTIF(E5:I5,"DNS")&gt;0,"DNF",MAX(E5:I5)))</f>
        <v>5.76</v>
      </c>
      <c r="M5" s="59">
        <f t="shared" ref="M5:M35" si="4">IF(COUNTBLANK(E5:I5)&gt;0,"",IF(COUNTIF(E5:I5,"DNF")+COUNTIF(E5:I5,"DNS")&gt;1,"DNF",ROUND(IF(COUNTIF(E5:I5,"DNF")+COUNTIF(E5:I5,"DNS")&gt;0,(SUM(E5:I5)-J5)/3,(SUM(E5:I5)-J5-L5)/3),2)))</f>
        <v>2.66</v>
      </c>
      <c r="N5" s="56"/>
    </row>
    <row r="6" ht="12.75" customHeight="1">
      <c r="A6" s="55">
        <f t="shared" si="1"/>
        <v>2</v>
      </c>
      <c r="B6" s="27" t="s">
        <v>96</v>
      </c>
      <c r="C6" s="56"/>
      <c r="D6" s="56"/>
      <c r="E6" s="57">
        <v>4.3</v>
      </c>
      <c r="F6" s="57">
        <v>3.96</v>
      </c>
      <c r="G6" s="57">
        <v>2.94</v>
      </c>
      <c r="H6" s="57">
        <v>3.13</v>
      </c>
      <c r="I6" s="57">
        <v>4.32</v>
      </c>
      <c r="J6" s="63">
        <f t="shared" si="2"/>
        <v>2.94</v>
      </c>
      <c r="K6" s="63"/>
      <c r="L6" s="63">
        <f t="shared" si="3"/>
        <v>4.32</v>
      </c>
      <c r="M6" s="59">
        <f t="shared" si="4"/>
        <v>3.8</v>
      </c>
      <c r="N6" s="56"/>
    </row>
    <row r="7" ht="12.75" customHeight="1">
      <c r="A7" s="55">
        <v>3.0</v>
      </c>
      <c r="B7" s="27" t="s">
        <v>97</v>
      </c>
      <c r="C7" s="56"/>
      <c r="D7" s="56"/>
      <c r="E7" s="57">
        <v>3.69</v>
      </c>
      <c r="F7" s="57">
        <v>3.62</v>
      </c>
      <c r="G7" s="57">
        <v>3.98</v>
      </c>
      <c r="H7" s="57">
        <v>4.18</v>
      </c>
      <c r="I7" s="57">
        <v>5.38</v>
      </c>
      <c r="J7" s="63">
        <f t="shared" si="2"/>
        <v>3.62</v>
      </c>
      <c r="K7" s="63"/>
      <c r="L7" s="63">
        <f t="shared" si="3"/>
        <v>5.38</v>
      </c>
      <c r="M7" s="59">
        <f t="shared" si="4"/>
        <v>3.95</v>
      </c>
      <c r="N7" s="56"/>
    </row>
    <row r="8" ht="12.75" customHeight="1">
      <c r="A8" s="66">
        <f t="shared" ref="A8:A36" si="5">IF(AND(M7=M8,J7=J8),A7,ROW()-4)</f>
        <v>4</v>
      </c>
      <c r="B8" s="27" t="s">
        <v>98</v>
      </c>
      <c r="C8" s="56"/>
      <c r="D8" s="56"/>
      <c r="E8" s="57">
        <v>4.47</v>
      </c>
      <c r="F8" s="57">
        <v>6.79</v>
      </c>
      <c r="G8" s="57">
        <v>4.82</v>
      </c>
      <c r="H8" s="57">
        <v>3.55</v>
      </c>
      <c r="I8" s="57">
        <v>4.08</v>
      </c>
      <c r="J8" s="63">
        <f t="shared" si="2"/>
        <v>3.55</v>
      </c>
      <c r="K8" s="63"/>
      <c r="L8" s="63">
        <f t="shared" si="3"/>
        <v>6.79</v>
      </c>
      <c r="M8" s="59">
        <f t="shared" si="4"/>
        <v>4.46</v>
      </c>
      <c r="N8" s="56"/>
    </row>
    <row r="9" ht="12.75" customHeight="1">
      <c r="A9" s="66">
        <f t="shared" si="5"/>
        <v>5</v>
      </c>
      <c r="B9" s="27" t="s">
        <v>99</v>
      </c>
      <c r="C9" s="56"/>
      <c r="D9" s="56"/>
      <c r="E9" s="57">
        <v>3.97</v>
      </c>
      <c r="F9" s="57">
        <v>3.99</v>
      </c>
      <c r="G9" s="57">
        <v>5.05</v>
      </c>
      <c r="H9" s="57">
        <v>4.65</v>
      </c>
      <c r="I9" s="57">
        <v>5.87</v>
      </c>
      <c r="J9" s="63">
        <f t="shared" si="2"/>
        <v>3.97</v>
      </c>
      <c r="K9" s="63"/>
      <c r="L9" s="63">
        <f t="shared" si="3"/>
        <v>5.87</v>
      </c>
      <c r="M9" s="59">
        <f t="shared" si="4"/>
        <v>4.56</v>
      </c>
      <c r="N9" s="56"/>
    </row>
    <row r="10" ht="12.75" customHeight="1">
      <c r="A10" s="66">
        <f t="shared" si="5"/>
        <v>6</v>
      </c>
      <c r="B10" s="27" t="s">
        <v>100</v>
      </c>
      <c r="C10" s="56"/>
      <c r="D10" s="56"/>
      <c r="E10" s="57">
        <v>4.58</v>
      </c>
      <c r="F10" s="57">
        <v>4.43</v>
      </c>
      <c r="G10" s="57">
        <v>6.05</v>
      </c>
      <c r="H10" s="57">
        <v>3.12</v>
      </c>
      <c r="I10" s="57">
        <v>5.31</v>
      </c>
      <c r="J10" s="63">
        <f t="shared" si="2"/>
        <v>3.12</v>
      </c>
      <c r="K10" s="63"/>
      <c r="L10" s="63">
        <f t="shared" si="3"/>
        <v>6.05</v>
      </c>
      <c r="M10" s="59">
        <f t="shared" si="4"/>
        <v>4.77</v>
      </c>
      <c r="N10" s="56"/>
    </row>
    <row r="11" ht="12.75" customHeight="1">
      <c r="A11" s="66">
        <f t="shared" si="5"/>
        <v>7</v>
      </c>
      <c r="B11" s="27" t="s">
        <v>101</v>
      </c>
      <c r="C11" s="56"/>
      <c r="D11" s="56"/>
      <c r="E11" s="57">
        <v>5.92</v>
      </c>
      <c r="F11" s="57">
        <v>4.82</v>
      </c>
      <c r="G11" s="57">
        <v>7.08</v>
      </c>
      <c r="H11" s="57">
        <v>3.41</v>
      </c>
      <c r="I11" s="57">
        <v>5.12</v>
      </c>
      <c r="J11" s="63">
        <f t="shared" si="2"/>
        <v>3.41</v>
      </c>
      <c r="K11" s="63"/>
      <c r="L11" s="63">
        <f t="shared" si="3"/>
        <v>7.08</v>
      </c>
      <c r="M11" s="59">
        <f t="shared" si="4"/>
        <v>5.29</v>
      </c>
      <c r="N11" s="56"/>
    </row>
    <row r="12" ht="12.75" customHeight="1">
      <c r="A12" s="66">
        <f t="shared" si="5"/>
        <v>8</v>
      </c>
      <c r="B12" s="27" t="s">
        <v>102</v>
      </c>
      <c r="C12" s="56"/>
      <c r="D12" s="56"/>
      <c r="E12" s="57">
        <v>4.36</v>
      </c>
      <c r="F12" s="57">
        <v>5.79</v>
      </c>
      <c r="G12" s="57">
        <v>6.29</v>
      </c>
      <c r="H12" s="57">
        <v>4.13</v>
      </c>
      <c r="I12" s="57">
        <v>6.07</v>
      </c>
      <c r="J12" s="63">
        <f t="shared" si="2"/>
        <v>4.13</v>
      </c>
      <c r="K12" s="63"/>
      <c r="L12" s="63">
        <f t="shared" si="3"/>
        <v>6.29</v>
      </c>
      <c r="M12" s="59">
        <f t="shared" si="4"/>
        <v>5.41</v>
      </c>
      <c r="N12" s="56"/>
    </row>
    <row r="13" ht="12.75" customHeight="1">
      <c r="A13" s="66">
        <f t="shared" si="5"/>
        <v>9</v>
      </c>
      <c r="B13" s="27" t="s">
        <v>103</v>
      </c>
      <c r="C13" s="56"/>
      <c r="D13" s="56"/>
      <c r="E13" s="57">
        <v>6.02</v>
      </c>
      <c r="F13" s="57">
        <v>4.79</v>
      </c>
      <c r="G13" s="57">
        <v>7.13</v>
      </c>
      <c r="H13" s="57">
        <v>5.55</v>
      </c>
      <c r="I13" s="57">
        <v>5.17</v>
      </c>
      <c r="J13" s="63">
        <f t="shared" si="2"/>
        <v>4.79</v>
      </c>
      <c r="K13" s="63"/>
      <c r="L13" s="63">
        <f t="shared" si="3"/>
        <v>7.13</v>
      </c>
      <c r="M13" s="59">
        <f t="shared" si="4"/>
        <v>5.58</v>
      </c>
      <c r="N13" s="56"/>
    </row>
    <row r="14" ht="12.75" customHeight="1">
      <c r="A14" s="66">
        <f t="shared" si="5"/>
        <v>10</v>
      </c>
      <c r="B14" s="27" t="s">
        <v>104</v>
      </c>
      <c r="C14" s="56"/>
      <c r="D14" s="56"/>
      <c r="E14" s="57">
        <v>5.34</v>
      </c>
      <c r="F14" s="57">
        <v>4.91</v>
      </c>
      <c r="G14" s="57">
        <v>6.43</v>
      </c>
      <c r="H14" s="57">
        <v>5.24</v>
      </c>
      <c r="I14" s="57">
        <v>6.37</v>
      </c>
      <c r="J14" s="63">
        <f t="shared" si="2"/>
        <v>4.91</v>
      </c>
      <c r="K14" s="63"/>
      <c r="L14" s="63">
        <f t="shared" si="3"/>
        <v>6.43</v>
      </c>
      <c r="M14" s="59">
        <f t="shared" si="4"/>
        <v>5.65</v>
      </c>
      <c r="N14" s="56"/>
    </row>
    <row r="15" ht="12.75" customHeight="1">
      <c r="A15" s="66">
        <f t="shared" si="5"/>
        <v>11</v>
      </c>
      <c r="B15" s="27" t="s">
        <v>105</v>
      </c>
      <c r="C15" s="56"/>
      <c r="D15" s="56"/>
      <c r="E15" s="57">
        <v>7.22</v>
      </c>
      <c r="F15" s="57">
        <v>2.89</v>
      </c>
      <c r="G15" s="57">
        <v>4.1</v>
      </c>
      <c r="H15" s="57">
        <v>6.63</v>
      </c>
      <c r="I15" s="57">
        <v>6.27</v>
      </c>
      <c r="J15" s="63">
        <f t="shared" si="2"/>
        <v>2.89</v>
      </c>
      <c r="K15" s="63"/>
      <c r="L15" s="63">
        <f t="shared" si="3"/>
        <v>7.22</v>
      </c>
      <c r="M15" s="59">
        <f t="shared" si="4"/>
        <v>5.67</v>
      </c>
      <c r="N15" s="56"/>
    </row>
    <row r="16" ht="12.75" customHeight="1">
      <c r="A16" s="66">
        <f t="shared" si="5"/>
        <v>12</v>
      </c>
      <c r="B16" s="27" t="s">
        <v>106</v>
      </c>
      <c r="C16" s="56"/>
      <c r="D16" s="56"/>
      <c r="E16" s="57">
        <v>7.52</v>
      </c>
      <c r="F16" s="57">
        <v>7.44</v>
      </c>
      <c r="G16" s="57">
        <v>5.33</v>
      </c>
      <c r="H16" s="57">
        <v>4.86</v>
      </c>
      <c r="I16" s="57">
        <v>6.43</v>
      </c>
      <c r="J16" s="63">
        <f t="shared" si="2"/>
        <v>4.86</v>
      </c>
      <c r="K16" s="63"/>
      <c r="L16" s="63">
        <f t="shared" si="3"/>
        <v>7.52</v>
      </c>
      <c r="M16" s="59">
        <f t="shared" si="4"/>
        <v>6.4</v>
      </c>
      <c r="N16" s="56"/>
    </row>
    <row r="17" ht="12.75" customHeight="1">
      <c r="A17" s="66">
        <f t="shared" si="5"/>
        <v>13</v>
      </c>
      <c r="B17" s="27"/>
      <c r="C17" s="56"/>
      <c r="D17" s="56"/>
      <c r="E17" s="57"/>
      <c r="F17" s="57"/>
      <c r="G17" s="57"/>
      <c r="H17" s="57"/>
      <c r="I17" s="57"/>
      <c r="J17" s="63" t="str">
        <f t="shared" si="2"/>
        <v/>
      </c>
      <c r="K17" s="63"/>
      <c r="L17" s="63" t="str">
        <f t="shared" si="3"/>
        <v/>
      </c>
      <c r="M17" s="59" t="str">
        <f t="shared" si="4"/>
        <v/>
      </c>
      <c r="N17" s="56"/>
    </row>
    <row r="18" ht="12.75" customHeight="1">
      <c r="A18" s="66">
        <f t="shared" si="5"/>
        <v>13</v>
      </c>
      <c r="B18" s="27"/>
      <c r="C18" s="56"/>
      <c r="D18" s="56"/>
      <c r="E18" s="57"/>
      <c r="F18" s="57"/>
      <c r="G18" s="57"/>
      <c r="H18" s="57"/>
      <c r="I18" s="57"/>
      <c r="J18" s="63" t="str">
        <f t="shared" si="2"/>
        <v/>
      </c>
      <c r="K18" s="63"/>
      <c r="L18" s="63" t="str">
        <f t="shared" si="3"/>
        <v/>
      </c>
      <c r="M18" s="59" t="str">
        <f t="shared" si="4"/>
        <v/>
      </c>
      <c r="N18" s="56"/>
    </row>
    <row r="19" ht="12.75" customHeight="1">
      <c r="A19" s="66">
        <f t="shared" si="5"/>
        <v>13</v>
      </c>
      <c r="B19" s="27"/>
      <c r="C19" s="56"/>
      <c r="D19" s="56"/>
      <c r="E19" s="57"/>
      <c r="F19" s="57"/>
      <c r="G19" s="57"/>
      <c r="H19" s="57"/>
      <c r="I19" s="57"/>
      <c r="J19" s="63" t="str">
        <f t="shared" si="2"/>
        <v/>
      </c>
      <c r="K19" s="63"/>
      <c r="L19" s="63" t="str">
        <f t="shared" si="3"/>
        <v/>
      </c>
      <c r="M19" s="59" t="str">
        <f t="shared" si="4"/>
        <v/>
      </c>
      <c r="N19" s="56"/>
    </row>
    <row r="20" ht="12.75" customHeight="1">
      <c r="A20" s="66">
        <f t="shared" si="5"/>
        <v>13</v>
      </c>
      <c r="B20" s="36"/>
      <c r="C20" s="56"/>
      <c r="D20" s="56"/>
      <c r="E20" s="63"/>
      <c r="F20" s="63"/>
      <c r="G20" s="63"/>
      <c r="H20" s="63"/>
      <c r="I20" s="63"/>
      <c r="J20" s="63" t="str">
        <f t="shared" si="2"/>
        <v/>
      </c>
      <c r="K20" s="63"/>
      <c r="L20" s="63" t="str">
        <f t="shared" si="3"/>
        <v/>
      </c>
      <c r="M20" s="59" t="str">
        <f t="shared" si="4"/>
        <v/>
      </c>
      <c r="N20" s="56"/>
    </row>
    <row r="21" ht="12.75" customHeight="1">
      <c r="A21" s="55">
        <f t="shared" si="5"/>
        <v>13</v>
      </c>
      <c r="B21" s="36"/>
      <c r="C21" s="56"/>
      <c r="D21" s="56"/>
      <c r="E21" s="63"/>
      <c r="F21" s="63"/>
      <c r="G21" s="63"/>
      <c r="H21" s="63"/>
      <c r="I21" s="63"/>
      <c r="J21" s="63" t="str">
        <f t="shared" si="2"/>
        <v/>
      </c>
      <c r="K21" s="63"/>
      <c r="L21" s="63" t="str">
        <f t="shared" si="3"/>
        <v/>
      </c>
      <c r="M21" s="59" t="str">
        <f t="shared" si="4"/>
        <v/>
      </c>
      <c r="N21" s="56"/>
    </row>
    <row r="22" ht="12.75" customHeight="1">
      <c r="A22" s="66">
        <f t="shared" si="5"/>
        <v>13</v>
      </c>
      <c r="B22" s="36"/>
      <c r="C22" s="56"/>
      <c r="D22" s="56"/>
      <c r="E22" s="63"/>
      <c r="F22" s="63"/>
      <c r="G22" s="63"/>
      <c r="H22" s="63"/>
      <c r="I22" s="63"/>
      <c r="J22" s="63" t="str">
        <f t="shared" si="2"/>
        <v/>
      </c>
      <c r="K22" s="63"/>
      <c r="L22" s="63" t="str">
        <f t="shared" si="3"/>
        <v/>
      </c>
      <c r="M22" s="59" t="str">
        <f t="shared" si="4"/>
        <v/>
      </c>
      <c r="N22" s="56"/>
    </row>
    <row r="23" ht="12.75" customHeight="1">
      <c r="A23" s="66">
        <f t="shared" si="5"/>
        <v>13</v>
      </c>
      <c r="B23" s="36"/>
      <c r="C23" s="56"/>
      <c r="D23" s="56"/>
      <c r="E23" s="63"/>
      <c r="F23" s="63"/>
      <c r="G23" s="63"/>
      <c r="H23" s="63"/>
      <c r="I23" s="63"/>
      <c r="J23" s="63"/>
      <c r="K23" s="63"/>
      <c r="L23" s="63"/>
      <c r="M23" s="59" t="str">
        <f t="shared" si="4"/>
        <v/>
      </c>
      <c r="N23" s="56"/>
    </row>
    <row r="24" ht="12.75" customHeight="1">
      <c r="A24" s="66">
        <f t="shared" si="5"/>
        <v>13</v>
      </c>
      <c r="B24" s="36"/>
      <c r="C24" s="56"/>
      <c r="D24" s="56"/>
      <c r="E24" s="63"/>
      <c r="F24" s="63"/>
      <c r="G24" s="63"/>
      <c r="H24" s="63"/>
      <c r="I24" s="63"/>
      <c r="J24" s="63"/>
      <c r="K24" s="63"/>
      <c r="L24" s="63"/>
      <c r="M24" s="59" t="str">
        <f t="shared" si="4"/>
        <v/>
      </c>
      <c r="N24" s="56"/>
    </row>
    <row r="25" ht="12.75" customHeight="1">
      <c r="A25" s="67">
        <f t="shared" si="5"/>
        <v>13</v>
      </c>
      <c r="B25" s="36"/>
      <c r="C25" s="56"/>
      <c r="D25" s="56"/>
      <c r="E25" s="63"/>
      <c r="F25" s="63"/>
      <c r="G25" s="63"/>
      <c r="H25" s="63"/>
      <c r="I25" s="63"/>
      <c r="J25" s="63"/>
      <c r="K25" s="63"/>
      <c r="L25" s="63"/>
      <c r="M25" s="59" t="str">
        <f t="shared" si="4"/>
        <v/>
      </c>
      <c r="N25" s="56"/>
    </row>
    <row r="26" ht="12.75" customHeight="1">
      <c r="A26" s="67">
        <f t="shared" si="5"/>
        <v>13</v>
      </c>
      <c r="B26" s="36"/>
      <c r="C26" s="56"/>
      <c r="D26" s="56"/>
      <c r="E26" s="63"/>
      <c r="F26" s="63"/>
      <c r="G26" s="63"/>
      <c r="H26" s="63"/>
      <c r="I26" s="63"/>
      <c r="J26" s="63"/>
      <c r="K26" s="63"/>
      <c r="L26" s="63"/>
      <c r="M26" s="59" t="str">
        <f t="shared" si="4"/>
        <v/>
      </c>
      <c r="N26" s="56"/>
    </row>
    <row r="27" ht="12.75" customHeight="1">
      <c r="A27" s="67">
        <f t="shared" si="5"/>
        <v>13</v>
      </c>
      <c r="B27" s="36"/>
      <c r="C27" s="56"/>
      <c r="D27" s="56"/>
      <c r="E27" s="63"/>
      <c r="F27" s="63"/>
      <c r="G27" s="63"/>
      <c r="H27" s="63"/>
      <c r="I27" s="63"/>
      <c r="J27" s="63"/>
      <c r="K27" s="63"/>
      <c r="L27" s="63"/>
      <c r="M27" s="59" t="str">
        <f t="shared" si="4"/>
        <v/>
      </c>
      <c r="N27" s="56"/>
    </row>
    <row r="28" ht="12.75" customHeight="1">
      <c r="A28" s="67">
        <f t="shared" si="5"/>
        <v>13</v>
      </c>
      <c r="B28" s="36"/>
      <c r="C28" s="56"/>
      <c r="D28" s="56"/>
      <c r="E28" s="63"/>
      <c r="F28" s="63"/>
      <c r="G28" s="63"/>
      <c r="H28" s="63"/>
      <c r="I28" s="63"/>
      <c r="J28" s="63"/>
      <c r="K28" s="63"/>
      <c r="L28" s="63"/>
      <c r="M28" s="59" t="str">
        <f t="shared" si="4"/>
        <v/>
      </c>
      <c r="N28" s="56"/>
    </row>
    <row r="29" ht="12.75" customHeight="1">
      <c r="A29" s="67">
        <f t="shared" si="5"/>
        <v>13</v>
      </c>
      <c r="B29" s="36"/>
      <c r="C29" s="56"/>
      <c r="D29" s="56"/>
      <c r="E29" s="63"/>
      <c r="F29" s="63"/>
      <c r="G29" s="63"/>
      <c r="H29" s="63"/>
      <c r="I29" s="63"/>
      <c r="J29" s="63"/>
      <c r="K29" s="63"/>
      <c r="L29" s="63"/>
      <c r="M29" s="59" t="str">
        <f t="shared" si="4"/>
        <v/>
      </c>
      <c r="N29" s="56"/>
    </row>
    <row r="30" ht="12.75" customHeight="1">
      <c r="A30" s="67">
        <f t="shared" si="5"/>
        <v>13</v>
      </c>
      <c r="B30" s="36"/>
      <c r="C30" s="56"/>
      <c r="D30" s="56"/>
      <c r="E30" s="63"/>
      <c r="F30" s="63"/>
      <c r="G30" s="63"/>
      <c r="H30" s="63"/>
      <c r="I30" s="63"/>
      <c r="J30" s="63"/>
      <c r="K30" s="63"/>
      <c r="L30" s="63"/>
      <c r="M30" s="59" t="str">
        <f t="shared" si="4"/>
        <v/>
      </c>
      <c r="N30" s="56"/>
    </row>
    <row r="31" ht="12.75" customHeight="1">
      <c r="A31" s="67">
        <f t="shared" si="5"/>
        <v>13</v>
      </c>
      <c r="B31" s="36"/>
      <c r="C31" s="56"/>
      <c r="D31" s="56"/>
      <c r="E31" s="63"/>
      <c r="F31" s="63"/>
      <c r="G31" s="63"/>
      <c r="H31" s="63"/>
      <c r="I31" s="63"/>
      <c r="J31" s="63"/>
      <c r="K31" s="63"/>
      <c r="L31" s="63"/>
      <c r="M31" s="59" t="str">
        <f t="shared" si="4"/>
        <v/>
      </c>
      <c r="N31" s="56"/>
    </row>
    <row r="32" ht="12.75" customHeight="1">
      <c r="A32" s="67">
        <f t="shared" si="5"/>
        <v>13</v>
      </c>
      <c r="B32" s="36"/>
      <c r="C32" s="56"/>
      <c r="D32" s="56"/>
      <c r="E32" s="63"/>
      <c r="F32" s="63"/>
      <c r="G32" s="63"/>
      <c r="H32" s="63"/>
      <c r="I32" s="63"/>
      <c r="J32" s="63"/>
      <c r="K32" s="63"/>
      <c r="L32" s="63"/>
      <c r="M32" s="59" t="str">
        <f t="shared" si="4"/>
        <v/>
      </c>
      <c r="N32" s="56"/>
    </row>
    <row r="33" ht="12.75" customHeight="1">
      <c r="A33" s="67">
        <f t="shared" si="5"/>
        <v>13</v>
      </c>
      <c r="B33" s="36"/>
      <c r="C33" s="56"/>
      <c r="D33" s="56"/>
      <c r="E33" s="63"/>
      <c r="F33" s="63"/>
      <c r="G33" s="63"/>
      <c r="H33" s="63"/>
      <c r="I33" s="63"/>
      <c r="J33" s="63"/>
      <c r="K33" s="63"/>
      <c r="L33" s="63"/>
      <c r="M33" s="59" t="str">
        <f t="shared" si="4"/>
        <v/>
      </c>
      <c r="N33" s="56"/>
    </row>
    <row r="34" ht="12.75" customHeight="1">
      <c r="A34" s="67">
        <f t="shared" si="5"/>
        <v>13</v>
      </c>
      <c r="B34" s="36"/>
      <c r="C34" s="56"/>
      <c r="D34" s="56"/>
      <c r="E34" s="63"/>
      <c r="F34" s="63"/>
      <c r="G34" s="63"/>
      <c r="H34" s="63"/>
      <c r="I34" s="63"/>
      <c r="J34" s="63"/>
      <c r="K34" s="63"/>
      <c r="L34" s="63"/>
      <c r="M34" s="59" t="str">
        <f t="shared" si="4"/>
        <v/>
      </c>
      <c r="N34" s="56"/>
    </row>
    <row r="35" ht="12.75" customHeight="1">
      <c r="A35" s="67">
        <f t="shared" si="5"/>
        <v>13</v>
      </c>
      <c r="B35" s="36"/>
      <c r="C35" s="56"/>
      <c r="D35" s="56"/>
      <c r="E35" s="63"/>
      <c r="F35" s="63"/>
      <c r="G35" s="63"/>
      <c r="H35" s="63"/>
      <c r="I35" s="63"/>
      <c r="J35" s="63"/>
      <c r="K35" s="63"/>
      <c r="L35" s="63"/>
      <c r="M35" s="59" t="str">
        <f t="shared" si="4"/>
        <v/>
      </c>
      <c r="N35" s="56"/>
    </row>
    <row r="36" ht="12.75" customHeight="1">
      <c r="A36" s="67">
        <f t="shared" si="5"/>
        <v>32</v>
      </c>
      <c r="B36" s="36"/>
      <c r="C36" s="56"/>
      <c r="D36" s="56"/>
      <c r="E36" s="63"/>
      <c r="F36" s="63"/>
      <c r="G36" s="63"/>
      <c r="H36" s="63"/>
      <c r="I36" s="63"/>
      <c r="J36" s="63"/>
      <c r="K36" s="63"/>
      <c r="L36" s="63"/>
      <c r="M36" s="59" t="s">
        <v>49</v>
      </c>
      <c r="N36" s="56"/>
    </row>
    <row r="37" ht="12.75" customHeight="1">
      <c r="E37" s="40"/>
      <c r="F37" s="40"/>
      <c r="G37" s="40"/>
      <c r="H37" s="40"/>
      <c r="I37" s="40"/>
      <c r="J37" s="40"/>
      <c r="K37" s="40"/>
      <c r="L37" s="40"/>
      <c r="M37" s="40"/>
    </row>
    <row r="38" ht="12.75" customHeight="1">
      <c r="E38" s="40"/>
      <c r="F38" s="40"/>
      <c r="G38" s="40"/>
      <c r="H38" s="40"/>
      <c r="I38" s="40"/>
      <c r="J38" s="40"/>
      <c r="K38" s="40"/>
      <c r="L38" s="40"/>
      <c r="M38" s="40"/>
    </row>
    <row r="39" ht="12.75" customHeight="1">
      <c r="E39" s="40"/>
      <c r="F39" s="40"/>
      <c r="G39" s="40"/>
      <c r="H39" s="40"/>
      <c r="I39" s="40"/>
      <c r="J39" s="40"/>
      <c r="K39" s="40"/>
      <c r="L39" s="40"/>
      <c r="M39" s="40"/>
    </row>
    <row r="40" ht="12.75" customHeight="1">
      <c r="E40" s="40"/>
      <c r="F40" s="40"/>
      <c r="G40" s="40"/>
      <c r="H40" s="40"/>
      <c r="I40" s="40"/>
      <c r="J40" s="40"/>
      <c r="K40" s="40"/>
      <c r="L40" s="40"/>
      <c r="M40" s="40"/>
    </row>
    <row r="41" ht="12.75" customHeight="1">
      <c r="E41" s="40"/>
      <c r="F41" s="40"/>
      <c r="G41" s="40"/>
      <c r="H41" s="40"/>
      <c r="I41" s="40"/>
      <c r="J41" s="40"/>
      <c r="K41" s="40"/>
      <c r="L41" s="40"/>
      <c r="M41" s="40"/>
    </row>
    <row r="42" ht="12.75" customHeight="1">
      <c r="E42" s="40"/>
      <c r="F42" s="40"/>
      <c r="G42" s="40"/>
      <c r="H42" s="40"/>
      <c r="I42" s="40"/>
      <c r="J42" s="40"/>
      <c r="K42" s="40"/>
      <c r="L42" s="40"/>
      <c r="M42" s="40"/>
    </row>
    <row r="43" ht="12.75" customHeight="1">
      <c r="E43" s="40"/>
      <c r="F43" s="40"/>
      <c r="G43" s="40"/>
      <c r="H43" s="40"/>
      <c r="I43" s="40"/>
      <c r="J43" s="40"/>
      <c r="K43" s="40"/>
      <c r="L43" s="40"/>
      <c r="M43" s="40"/>
    </row>
    <row r="44" ht="12.75" customHeight="1">
      <c r="E44" s="40"/>
      <c r="F44" s="40"/>
      <c r="G44" s="40"/>
      <c r="H44" s="40"/>
      <c r="I44" s="40"/>
      <c r="J44" s="40"/>
      <c r="K44" s="40"/>
      <c r="L44" s="40"/>
      <c r="M44" s="40"/>
    </row>
    <row r="45" ht="12.75" customHeight="1">
      <c r="E45" s="40"/>
      <c r="F45" s="40"/>
      <c r="G45" s="40"/>
      <c r="H45" s="40"/>
      <c r="I45" s="40"/>
      <c r="J45" s="40"/>
      <c r="K45" s="40"/>
      <c r="L45" s="40"/>
      <c r="M45" s="40"/>
    </row>
    <row r="46" ht="12.75" customHeight="1">
      <c r="E46" s="40"/>
      <c r="F46" s="40"/>
      <c r="G46" s="40"/>
      <c r="H46" s="40"/>
      <c r="I46" s="40"/>
      <c r="J46" s="40"/>
      <c r="K46" s="40"/>
      <c r="L46" s="40"/>
      <c r="M46" s="40"/>
    </row>
    <row r="47" ht="12.75" customHeight="1">
      <c r="E47" s="40"/>
      <c r="F47" s="40"/>
      <c r="G47" s="40"/>
      <c r="H47" s="40"/>
      <c r="I47" s="40"/>
      <c r="J47" s="40"/>
      <c r="K47" s="40"/>
      <c r="L47" s="40"/>
      <c r="M47" s="40"/>
    </row>
    <row r="48" ht="12.75" customHeight="1">
      <c r="E48" s="40"/>
      <c r="F48" s="40"/>
      <c r="G48" s="40"/>
      <c r="H48" s="40"/>
      <c r="I48" s="40"/>
      <c r="J48" s="40"/>
      <c r="K48" s="40"/>
      <c r="L48" s="40"/>
      <c r="M48" s="40"/>
    </row>
    <row r="49" ht="12.75" customHeight="1">
      <c r="E49" s="40"/>
      <c r="F49" s="40"/>
      <c r="G49" s="40"/>
      <c r="H49" s="40"/>
      <c r="I49" s="40"/>
      <c r="J49" s="40"/>
      <c r="K49" s="40"/>
      <c r="L49" s="40"/>
      <c r="M49" s="40"/>
    </row>
    <row r="50" ht="12.75" customHeight="1">
      <c r="E50" s="40"/>
      <c r="F50" s="40"/>
      <c r="G50" s="40"/>
      <c r="H50" s="40"/>
      <c r="I50" s="40"/>
      <c r="J50" s="40"/>
      <c r="K50" s="40"/>
      <c r="L50" s="40"/>
      <c r="M50" s="40"/>
    </row>
    <row r="51" ht="12.75" customHeight="1">
      <c r="E51" s="40"/>
      <c r="F51" s="40"/>
      <c r="G51" s="40"/>
      <c r="H51" s="40"/>
      <c r="I51" s="40"/>
      <c r="J51" s="40"/>
      <c r="K51" s="40"/>
      <c r="L51" s="40"/>
      <c r="M51" s="40"/>
    </row>
    <row r="52" ht="12.75" customHeight="1">
      <c r="E52" s="40"/>
      <c r="F52" s="40"/>
      <c r="G52" s="40"/>
      <c r="H52" s="40"/>
      <c r="I52" s="40"/>
      <c r="J52" s="40"/>
      <c r="K52" s="40"/>
      <c r="L52" s="40"/>
      <c r="M52" s="40"/>
    </row>
    <row r="53" ht="12.75" customHeight="1">
      <c r="E53" s="40"/>
      <c r="F53" s="40"/>
      <c r="G53" s="40"/>
      <c r="H53" s="40"/>
      <c r="I53" s="40"/>
      <c r="J53" s="40"/>
      <c r="K53" s="40"/>
      <c r="L53" s="40"/>
      <c r="M53" s="40"/>
    </row>
    <row r="54" ht="12.75" customHeight="1">
      <c r="E54" s="40"/>
      <c r="F54" s="40"/>
      <c r="G54" s="40"/>
      <c r="H54" s="40"/>
      <c r="I54" s="40"/>
      <c r="J54" s="40"/>
      <c r="K54" s="40"/>
      <c r="L54" s="40"/>
      <c r="M54" s="40"/>
    </row>
    <row r="55" ht="12.75" customHeight="1">
      <c r="E55" s="40"/>
      <c r="F55" s="40"/>
      <c r="G55" s="40"/>
      <c r="H55" s="40"/>
      <c r="I55" s="40"/>
      <c r="J55" s="40"/>
      <c r="K55" s="40"/>
      <c r="L55" s="40"/>
      <c r="M55" s="40"/>
    </row>
    <row r="56" ht="12.75" customHeight="1">
      <c r="E56" s="40"/>
      <c r="F56" s="40"/>
      <c r="G56" s="40"/>
      <c r="H56" s="40"/>
      <c r="I56" s="40"/>
      <c r="J56" s="40"/>
      <c r="K56" s="40"/>
      <c r="L56" s="40"/>
      <c r="M56" s="40"/>
    </row>
    <row r="57" ht="12.75" customHeight="1">
      <c r="E57" s="40"/>
      <c r="F57" s="40"/>
      <c r="G57" s="40"/>
      <c r="H57" s="40"/>
      <c r="I57" s="40"/>
      <c r="J57" s="40"/>
      <c r="K57" s="40"/>
      <c r="L57" s="40"/>
      <c r="M57" s="40"/>
    </row>
    <row r="58" ht="12.75" customHeight="1">
      <c r="E58" s="40"/>
      <c r="F58" s="40"/>
      <c r="G58" s="40"/>
      <c r="H58" s="40"/>
      <c r="I58" s="40"/>
      <c r="J58" s="40"/>
      <c r="K58" s="40"/>
      <c r="L58" s="40"/>
      <c r="M58" s="40"/>
    </row>
    <row r="59" ht="12.75" customHeight="1">
      <c r="E59" s="40"/>
      <c r="F59" s="40"/>
      <c r="G59" s="40"/>
      <c r="H59" s="40"/>
      <c r="I59" s="40"/>
      <c r="J59" s="40"/>
      <c r="K59" s="40"/>
      <c r="L59" s="40"/>
      <c r="M59" s="40"/>
    </row>
    <row r="60" ht="12.75" customHeight="1">
      <c r="E60" s="40"/>
      <c r="F60" s="40"/>
      <c r="G60" s="40"/>
      <c r="H60" s="40"/>
      <c r="I60" s="40"/>
      <c r="J60" s="40"/>
      <c r="K60" s="40"/>
      <c r="L60" s="40"/>
      <c r="M60" s="40"/>
    </row>
    <row r="61" ht="12.75" customHeight="1">
      <c r="E61" s="40"/>
      <c r="F61" s="40"/>
      <c r="G61" s="40"/>
      <c r="H61" s="40"/>
      <c r="I61" s="40"/>
      <c r="J61" s="40"/>
      <c r="K61" s="40"/>
      <c r="L61" s="40"/>
      <c r="M61" s="40"/>
    </row>
    <row r="62" ht="12.75" customHeight="1">
      <c r="E62" s="40"/>
      <c r="F62" s="40"/>
      <c r="G62" s="40"/>
      <c r="H62" s="40"/>
      <c r="I62" s="40"/>
      <c r="J62" s="40"/>
      <c r="K62" s="40"/>
      <c r="L62" s="40"/>
      <c r="M62" s="40"/>
    </row>
    <row r="63" ht="12.75" customHeight="1">
      <c r="E63" s="40"/>
      <c r="F63" s="40"/>
      <c r="G63" s="40"/>
      <c r="H63" s="40"/>
      <c r="I63" s="40"/>
      <c r="J63" s="40"/>
      <c r="K63" s="40"/>
      <c r="L63" s="40"/>
      <c r="M63" s="40"/>
    </row>
    <row r="64" ht="12.75" customHeight="1">
      <c r="E64" s="40"/>
      <c r="F64" s="40"/>
      <c r="G64" s="40"/>
      <c r="H64" s="40"/>
      <c r="I64" s="40"/>
      <c r="J64" s="40"/>
      <c r="K64" s="40"/>
      <c r="L64" s="40"/>
      <c r="M64" s="40"/>
    </row>
    <row r="65" ht="12.75" customHeight="1">
      <c r="E65" s="40"/>
      <c r="F65" s="40"/>
      <c r="G65" s="40"/>
      <c r="H65" s="40"/>
      <c r="I65" s="40"/>
      <c r="J65" s="40"/>
      <c r="K65" s="40"/>
      <c r="L65" s="40"/>
      <c r="M65" s="40"/>
    </row>
    <row r="66" ht="12.75" customHeight="1">
      <c r="E66" s="40"/>
      <c r="F66" s="40"/>
      <c r="G66" s="40"/>
      <c r="H66" s="40"/>
      <c r="I66" s="40"/>
      <c r="J66" s="40"/>
      <c r="K66" s="40"/>
      <c r="L66" s="40"/>
      <c r="M66" s="40"/>
    </row>
    <row r="67" ht="12.75" customHeight="1">
      <c r="E67" s="40"/>
      <c r="F67" s="40"/>
      <c r="G67" s="40"/>
      <c r="H67" s="40"/>
      <c r="I67" s="40"/>
      <c r="J67" s="40"/>
      <c r="K67" s="40"/>
      <c r="L67" s="40"/>
      <c r="M67" s="40"/>
    </row>
    <row r="68" ht="12.75" customHeight="1">
      <c r="E68" s="40"/>
      <c r="F68" s="40"/>
      <c r="G68" s="40"/>
      <c r="H68" s="40"/>
      <c r="I68" s="40"/>
      <c r="J68" s="40"/>
      <c r="K68" s="40"/>
      <c r="L68" s="40"/>
      <c r="M68" s="40"/>
    </row>
    <row r="69" ht="12.75" customHeight="1">
      <c r="E69" s="40"/>
      <c r="F69" s="40"/>
      <c r="G69" s="40"/>
      <c r="H69" s="40"/>
      <c r="I69" s="40"/>
      <c r="J69" s="40"/>
      <c r="K69" s="40"/>
      <c r="L69" s="40"/>
      <c r="M69" s="40"/>
    </row>
    <row r="70" ht="12.75" customHeight="1">
      <c r="E70" s="40"/>
      <c r="F70" s="40"/>
      <c r="G70" s="40"/>
      <c r="H70" s="40"/>
      <c r="I70" s="40"/>
      <c r="J70" s="40"/>
      <c r="K70" s="40"/>
      <c r="L70" s="40"/>
      <c r="M70" s="40"/>
    </row>
    <row r="71" ht="12.75" customHeight="1">
      <c r="E71" s="40"/>
      <c r="F71" s="40"/>
      <c r="G71" s="40"/>
      <c r="H71" s="40"/>
      <c r="I71" s="40"/>
      <c r="J71" s="40"/>
      <c r="K71" s="40"/>
      <c r="L71" s="40"/>
      <c r="M71" s="40"/>
    </row>
    <row r="72" ht="12.75" customHeight="1">
      <c r="E72" s="40"/>
      <c r="F72" s="40"/>
      <c r="G72" s="40"/>
      <c r="H72" s="40"/>
      <c r="I72" s="40"/>
      <c r="J72" s="40"/>
      <c r="K72" s="40"/>
      <c r="L72" s="40"/>
      <c r="M72" s="40"/>
    </row>
    <row r="73" ht="12.75" customHeight="1">
      <c r="E73" s="40"/>
      <c r="F73" s="40"/>
      <c r="G73" s="40"/>
      <c r="H73" s="40"/>
      <c r="I73" s="40"/>
      <c r="J73" s="40"/>
      <c r="K73" s="40"/>
      <c r="L73" s="40"/>
      <c r="M73" s="40"/>
    </row>
    <row r="74" ht="12.75" customHeight="1">
      <c r="E74" s="40"/>
      <c r="F74" s="40"/>
      <c r="G74" s="40"/>
      <c r="H74" s="40"/>
      <c r="I74" s="40"/>
      <c r="J74" s="40"/>
      <c r="K74" s="40"/>
      <c r="L74" s="40"/>
      <c r="M74" s="40"/>
    </row>
    <row r="75" ht="12.75" customHeight="1">
      <c r="E75" s="40"/>
      <c r="F75" s="40"/>
      <c r="G75" s="40"/>
      <c r="H75" s="40"/>
      <c r="I75" s="40"/>
      <c r="J75" s="40"/>
      <c r="K75" s="40"/>
      <c r="L75" s="40"/>
      <c r="M75" s="40"/>
    </row>
    <row r="76" ht="12.75" customHeight="1">
      <c r="E76" s="40"/>
      <c r="F76" s="40"/>
      <c r="G76" s="40"/>
      <c r="H76" s="40"/>
      <c r="I76" s="40"/>
      <c r="J76" s="40"/>
      <c r="K76" s="40"/>
      <c r="L76" s="40"/>
      <c r="M76" s="40"/>
    </row>
    <row r="77" ht="12.75" customHeight="1">
      <c r="E77" s="40"/>
      <c r="F77" s="40"/>
      <c r="G77" s="40"/>
      <c r="H77" s="40"/>
      <c r="I77" s="40"/>
      <c r="J77" s="40"/>
      <c r="K77" s="40"/>
      <c r="L77" s="40"/>
      <c r="M77" s="40"/>
    </row>
    <row r="78" ht="12.75" customHeight="1">
      <c r="E78" s="40"/>
      <c r="F78" s="40"/>
      <c r="G78" s="40"/>
      <c r="H78" s="40"/>
      <c r="I78" s="40"/>
      <c r="J78" s="40"/>
      <c r="K78" s="40"/>
      <c r="L78" s="40"/>
      <c r="M78" s="40"/>
    </row>
    <row r="79" ht="12.75" customHeight="1">
      <c r="E79" s="40"/>
      <c r="F79" s="40"/>
      <c r="G79" s="40"/>
      <c r="H79" s="40"/>
      <c r="I79" s="40"/>
      <c r="J79" s="40"/>
      <c r="K79" s="40"/>
      <c r="L79" s="40"/>
      <c r="M79" s="40"/>
    </row>
    <row r="80" ht="12.75" customHeight="1">
      <c r="E80" s="40"/>
      <c r="F80" s="40"/>
      <c r="G80" s="40"/>
      <c r="H80" s="40"/>
      <c r="I80" s="40"/>
      <c r="J80" s="40"/>
      <c r="K80" s="40"/>
      <c r="L80" s="40"/>
      <c r="M80" s="40"/>
    </row>
    <row r="81" ht="12.75" customHeight="1">
      <c r="E81" s="40"/>
      <c r="F81" s="40"/>
      <c r="G81" s="40"/>
      <c r="H81" s="40"/>
      <c r="I81" s="40"/>
      <c r="J81" s="40"/>
      <c r="K81" s="40"/>
      <c r="L81" s="40"/>
      <c r="M81" s="40"/>
    </row>
    <row r="82" ht="12.75" customHeight="1">
      <c r="E82" s="40"/>
      <c r="F82" s="40"/>
      <c r="G82" s="40"/>
      <c r="H82" s="40"/>
      <c r="I82" s="40"/>
      <c r="J82" s="40"/>
      <c r="K82" s="40"/>
      <c r="L82" s="40"/>
      <c r="M82" s="40"/>
    </row>
    <row r="83" ht="12.75" customHeight="1">
      <c r="E83" s="40"/>
      <c r="F83" s="40"/>
      <c r="G83" s="40"/>
      <c r="H83" s="40"/>
      <c r="I83" s="40"/>
      <c r="J83" s="40"/>
      <c r="K83" s="40"/>
      <c r="L83" s="40"/>
      <c r="M83" s="40"/>
    </row>
    <row r="84" ht="12.75" customHeight="1">
      <c r="E84" s="40"/>
      <c r="F84" s="40"/>
      <c r="G84" s="40"/>
      <c r="H84" s="40"/>
      <c r="I84" s="40"/>
      <c r="J84" s="40"/>
      <c r="K84" s="40"/>
      <c r="L84" s="40"/>
      <c r="M84" s="40"/>
    </row>
    <row r="85" ht="12.75" customHeight="1">
      <c r="E85" s="40"/>
      <c r="F85" s="40"/>
      <c r="G85" s="40"/>
      <c r="H85" s="40"/>
      <c r="I85" s="40"/>
      <c r="J85" s="40"/>
      <c r="K85" s="40"/>
      <c r="L85" s="40"/>
      <c r="M85" s="40"/>
    </row>
    <row r="86" ht="12.75" customHeight="1">
      <c r="E86" s="40"/>
      <c r="F86" s="40"/>
      <c r="G86" s="40"/>
      <c r="H86" s="40"/>
      <c r="I86" s="40"/>
      <c r="J86" s="40"/>
      <c r="K86" s="40"/>
      <c r="L86" s="40"/>
      <c r="M86" s="40"/>
    </row>
    <row r="87" ht="12.75" customHeight="1">
      <c r="E87" s="40"/>
      <c r="F87" s="40"/>
      <c r="G87" s="40"/>
      <c r="H87" s="40"/>
      <c r="I87" s="40"/>
      <c r="J87" s="40"/>
      <c r="K87" s="40"/>
      <c r="L87" s="40"/>
      <c r="M87" s="40"/>
    </row>
    <row r="88" ht="12.75" customHeight="1">
      <c r="E88" s="40"/>
      <c r="F88" s="40"/>
      <c r="G88" s="40"/>
      <c r="H88" s="40"/>
      <c r="I88" s="40"/>
      <c r="J88" s="40"/>
      <c r="K88" s="40"/>
      <c r="L88" s="40"/>
      <c r="M88" s="40"/>
    </row>
    <row r="89" ht="12.75" customHeight="1">
      <c r="E89" s="40"/>
      <c r="F89" s="40"/>
      <c r="G89" s="40"/>
      <c r="H89" s="40"/>
      <c r="I89" s="40"/>
      <c r="J89" s="40"/>
      <c r="K89" s="40"/>
      <c r="L89" s="40"/>
      <c r="M89" s="40"/>
    </row>
    <row r="90" ht="12.75" customHeight="1">
      <c r="E90" s="40"/>
      <c r="F90" s="40"/>
      <c r="G90" s="40"/>
      <c r="H90" s="40"/>
      <c r="I90" s="40"/>
      <c r="J90" s="40"/>
      <c r="K90" s="40"/>
      <c r="L90" s="40"/>
      <c r="M90" s="40"/>
    </row>
    <row r="91" ht="12.75" customHeight="1">
      <c r="E91" s="40"/>
      <c r="F91" s="40"/>
      <c r="G91" s="40"/>
      <c r="H91" s="40"/>
      <c r="I91" s="40"/>
      <c r="J91" s="40"/>
      <c r="K91" s="40"/>
      <c r="L91" s="40"/>
      <c r="M91" s="40"/>
    </row>
    <row r="92" ht="12.75" customHeight="1">
      <c r="E92" s="40"/>
      <c r="F92" s="40"/>
      <c r="G92" s="40"/>
      <c r="H92" s="40"/>
      <c r="I92" s="40"/>
      <c r="J92" s="40"/>
      <c r="K92" s="40"/>
      <c r="L92" s="40"/>
      <c r="M92" s="40"/>
    </row>
    <row r="93" ht="12.75" customHeight="1">
      <c r="E93" s="40"/>
      <c r="F93" s="40"/>
      <c r="G93" s="40"/>
      <c r="H93" s="40"/>
      <c r="I93" s="40"/>
      <c r="J93" s="40"/>
      <c r="K93" s="40"/>
      <c r="L93" s="40"/>
      <c r="M93" s="40"/>
    </row>
    <row r="94" ht="12.75" customHeight="1">
      <c r="E94" s="40"/>
      <c r="F94" s="40"/>
      <c r="G94" s="40"/>
      <c r="H94" s="40"/>
      <c r="I94" s="40"/>
      <c r="J94" s="40"/>
      <c r="K94" s="40"/>
      <c r="L94" s="40"/>
      <c r="M94" s="40"/>
    </row>
    <row r="95" ht="12.75" customHeight="1">
      <c r="E95" s="40"/>
      <c r="F95" s="40"/>
      <c r="G95" s="40"/>
      <c r="H95" s="40"/>
      <c r="I95" s="40"/>
      <c r="J95" s="40"/>
      <c r="K95" s="40"/>
      <c r="L95" s="40"/>
      <c r="M95" s="40"/>
    </row>
    <row r="96" ht="12.75" customHeight="1">
      <c r="E96" s="40"/>
      <c r="F96" s="40"/>
      <c r="G96" s="40"/>
      <c r="H96" s="40"/>
      <c r="I96" s="40"/>
      <c r="J96" s="40"/>
      <c r="K96" s="40"/>
      <c r="L96" s="40"/>
      <c r="M96" s="40"/>
    </row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" footer="0.0" header="0.0" left="0.75" right="0.75" top="1.0"/>
  <pageSetup paperSize="9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5.38"/>
    <col customWidth="1" min="2" max="2" width="42.63"/>
    <col customWidth="1" hidden="1" min="3" max="3" width="14.13"/>
    <col customWidth="1" hidden="1" min="4" max="4" width="12.13"/>
    <col customWidth="1" min="5" max="5" width="14.13"/>
    <col customWidth="1" min="6" max="7" width="10.63"/>
    <col customWidth="1" min="8" max="8" width="9.88"/>
    <col customWidth="1" min="9" max="9" width="11.88"/>
    <col customWidth="1" min="10" max="10" width="14.0"/>
    <col customWidth="1" min="11" max="11" width="16.13"/>
    <col customWidth="1" min="12" max="12" width="13.63"/>
    <col customWidth="1" min="13" max="13" width="25.38"/>
    <col customWidth="1" min="14" max="26" width="9.13"/>
  </cols>
  <sheetData>
    <row r="1" ht="12.75" customHeight="1">
      <c r="A1" s="46" t="s">
        <v>107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 ht="12.75" customHeight="1">
      <c r="A2" s="48" t="s">
        <v>28</v>
      </c>
      <c r="B2" s="19"/>
      <c r="C2" s="19"/>
      <c r="D2" s="19"/>
      <c r="E2" s="19"/>
      <c r="F2" s="20"/>
      <c r="K2" s="19"/>
    </row>
    <row r="3" ht="12.75" customHeight="1">
      <c r="A3" s="48" t="s">
        <v>29</v>
      </c>
      <c r="B3" s="19"/>
      <c r="K3" s="19"/>
    </row>
    <row r="4" ht="12.75" customHeight="1">
      <c r="A4" s="68" t="s">
        <v>30</v>
      </c>
      <c r="B4" s="21" t="s">
        <v>3</v>
      </c>
      <c r="C4" s="21" t="s">
        <v>4</v>
      </c>
      <c r="D4" s="21" t="s">
        <v>5</v>
      </c>
      <c r="E4" s="22">
        <v>1.0</v>
      </c>
      <c r="F4" s="22">
        <v>2.0</v>
      </c>
      <c r="G4" s="22">
        <v>3.0</v>
      </c>
      <c r="H4" s="22">
        <v>4.0</v>
      </c>
      <c r="I4" s="22">
        <v>5.0</v>
      </c>
      <c r="J4" s="22" t="s">
        <v>31</v>
      </c>
      <c r="K4" s="22" t="s">
        <v>33</v>
      </c>
      <c r="L4" s="22" t="s">
        <v>34</v>
      </c>
      <c r="M4" s="24" t="s">
        <v>35</v>
      </c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 ht="12.75" customHeight="1">
      <c r="A5" s="69">
        <v>1.0</v>
      </c>
      <c r="B5" s="27" t="s">
        <v>79</v>
      </c>
      <c r="C5" s="28"/>
      <c r="D5" s="28"/>
      <c r="E5" s="29">
        <v>26.11</v>
      </c>
      <c r="F5" s="29">
        <v>25.4</v>
      </c>
      <c r="G5" s="29">
        <v>23.41</v>
      </c>
      <c r="H5" s="29">
        <v>22.11</v>
      </c>
      <c r="I5" s="29">
        <v>31.41</v>
      </c>
      <c r="J5" s="30">
        <f t="shared" ref="J5:J27" si="1">IF(MIN(E5:I5)&gt;0,MIN(E5:I5),IF(COUNTBLANK(E5:I5)=5,"","DNF"))</f>
        <v>22.11</v>
      </c>
      <c r="K5" s="30">
        <f t="shared" ref="K5:K27" si="2">IF(COUNTBLANK(E5:I5)&gt;0,"",IF(COUNTIF(E5:I5,"DNF")+COUNTIF(E5:I5,"DNS")&gt;0,"DNF",MAX(E5:I5)))</f>
        <v>31.41</v>
      </c>
      <c r="L5" s="30">
        <f t="shared" ref="L5:L27" si="3">IF(COUNTBLANK(E5:I5)&gt;0,"",IF(COUNTIF(E5:I5,"DNF")+COUNTIF(E5:I5,"DNS")&gt;1,"DNF",ROUND(IF(COUNTIF(E5:I5,"DNF")+COUNTIF(E5:I5,"DNS")&gt;0,(SUM(E5:I5)-J5)/3,(SUM(E5:I5)-J5-K5)/3),2)))</f>
        <v>24.97</v>
      </c>
      <c r="M5" s="31">
        <f t="shared" ref="M5:M27" si="4">L5/86400</f>
        <v>0.0002890046296</v>
      </c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</row>
    <row r="6" ht="12.75" customHeight="1">
      <c r="A6" s="69">
        <v>2.0</v>
      </c>
      <c r="B6" s="27" t="s">
        <v>108</v>
      </c>
      <c r="C6" s="33"/>
      <c r="D6" s="33"/>
      <c r="E6" s="34" t="s">
        <v>49</v>
      </c>
      <c r="F6" s="34">
        <v>29.2</v>
      </c>
      <c r="G6" s="34">
        <v>24.99</v>
      </c>
      <c r="H6" s="34">
        <v>26.11</v>
      </c>
      <c r="I6" s="34">
        <v>23.74</v>
      </c>
      <c r="J6" s="35">
        <f t="shared" si="1"/>
        <v>23.74</v>
      </c>
      <c r="K6" s="35" t="str">
        <f t="shared" si="2"/>
        <v>DNF</v>
      </c>
      <c r="L6" s="35">
        <f t="shared" si="3"/>
        <v>26.77</v>
      </c>
      <c r="M6" s="31">
        <f t="shared" si="4"/>
        <v>0.000309837963</v>
      </c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</row>
    <row r="7" ht="12.75" customHeight="1">
      <c r="A7" s="69">
        <v>3.0</v>
      </c>
      <c r="B7" s="27" t="s">
        <v>109</v>
      </c>
      <c r="C7" s="33"/>
      <c r="D7" s="33"/>
      <c r="E7" s="34">
        <v>26.88</v>
      </c>
      <c r="F7" s="34">
        <v>27.38</v>
      </c>
      <c r="G7" s="34">
        <v>28.64</v>
      </c>
      <c r="H7" s="34">
        <v>31.06</v>
      </c>
      <c r="I7" s="34">
        <v>56.26</v>
      </c>
      <c r="J7" s="35">
        <f t="shared" si="1"/>
        <v>26.88</v>
      </c>
      <c r="K7" s="35">
        <f t="shared" si="2"/>
        <v>56.26</v>
      </c>
      <c r="L7" s="35">
        <f t="shared" si="3"/>
        <v>29.03</v>
      </c>
      <c r="M7" s="31">
        <f t="shared" si="4"/>
        <v>0.0003359953704</v>
      </c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</row>
    <row r="8" ht="12.75" customHeight="1">
      <c r="A8" s="69">
        <v>4.0</v>
      </c>
      <c r="B8" s="27" t="s">
        <v>110</v>
      </c>
      <c r="C8" s="33"/>
      <c r="D8" s="33"/>
      <c r="E8" s="34">
        <v>33.13</v>
      </c>
      <c r="F8" s="34">
        <v>34.41</v>
      </c>
      <c r="G8" s="34">
        <v>30.17</v>
      </c>
      <c r="H8" s="34">
        <v>25.3</v>
      </c>
      <c r="I8" s="34">
        <v>25.97</v>
      </c>
      <c r="J8" s="35">
        <f t="shared" si="1"/>
        <v>25.3</v>
      </c>
      <c r="K8" s="35">
        <f t="shared" si="2"/>
        <v>34.41</v>
      </c>
      <c r="L8" s="35">
        <f t="shared" si="3"/>
        <v>29.76</v>
      </c>
      <c r="M8" s="31">
        <f t="shared" si="4"/>
        <v>0.0003444444444</v>
      </c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</row>
    <row r="9" ht="12.75" customHeight="1">
      <c r="A9" s="69">
        <v>5.0</v>
      </c>
      <c r="B9" s="27" t="s">
        <v>111</v>
      </c>
      <c r="C9" s="33"/>
      <c r="D9" s="33"/>
      <c r="E9" s="34">
        <v>28.1</v>
      </c>
      <c r="F9" s="34">
        <v>31.69</v>
      </c>
      <c r="G9" s="34">
        <v>30.65</v>
      </c>
      <c r="H9" s="34">
        <v>33.17</v>
      </c>
      <c r="I9" s="34">
        <v>26.34</v>
      </c>
      <c r="J9" s="35">
        <f t="shared" si="1"/>
        <v>26.34</v>
      </c>
      <c r="K9" s="35">
        <f t="shared" si="2"/>
        <v>33.17</v>
      </c>
      <c r="L9" s="35">
        <f t="shared" si="3"/>
        <v>30.15</v>
      </c>
      <c r="M9" s="31">
        <f t="shared" si="4"/>
        <v>0.0003489583333</v>
      </c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 ht="12.75" customHeight="1">
      <c r="A10" s="69">
        <v>6.0</v>
      </c>
      <c r="B10" s="27" t="s">
        <v>112</v>
      </c>
      <c r="C10" s="28"/>
      <c r="D10" s="28"/>
      <c r="E10" s="29">
        <v>31.39</v>
      </c>
      <c r="F10" s="29">
        <v>29.84</v>
      </c>
      <c r="G10" s="29">
        <v>30.31</v>
      </c>
      <c r="H10" s="29">
        <v>31.32</v>
      </c>
      <c r="I10" s="29">
        <v>54.07</v>
      </c>
      <c r="J10" s="30">
        <f t="shared" si="1"/>
        <v>29.84</v>
      </c>
      <c r="K10" s="30">
        <f t="shared" si="2"/>
        <v>54.07</v>
      </c>
      <c r="L10" s="30">
        <f t="shared" si="3"/>
        <v>31.01</v>
      </c>
      <c r="M10" s="31">
        <f t="shared" si="4"/>
        <v>0.000358912037</v>
      </c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 ht="12.75" customHeight="1">
      <c r="A11" s="69">
        <v>7.0</v>
      </c>
      <c r="B11" s="27" t="s">
        <v>113</v>
      </c>
      <c r="C11" s="33"/>
      <c r="D11" s="33"/>
      <c r="E11" s="34">
        <v>36.81</v>
      </c>
      <c r="F11" s="34">
        <v>33.32</v>
      </c>
      <c r="G11" s="34">
        <v>30.25</v>
      </c>
      <c r="H11" s="34">
        <v>51.37</v>
      </c>
      <c r="I11" s="34">
        <v>31.25</v>
      </c>
      <c r="J11" s="35">
        <f t="shared" si="1"/>
        <v>30.25</v>
      </c>
      <c r="K11" s="35">
        <f t="shared" si="2"/>
        <v>51.37</v>
      </c>
      <c r="L11" s="35">
        <f t="shared" si="3"/>
        <v>33.79</v>
      </c>
      <c r="M11" s="31">
        <f t="shared" si="4"/>
        <v>0.000391087963</v>
      </c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 ht="12.75" customHeight="1">
      <c r="A12" s="69">
        <v>8.0</v>
      </c>
      <c r="B12" s="27" t="s">
        <v>114</v>
      </c>
      <c r="C12" s="70"/>
      <c r="D12" s="70"/>
      <c r="E12" s="34">
        <v>35.64</v>
      </c>
      <c r="F12" s="34">
        <v>32.38</v>
      </c>
      <c r="G12" s="34">
        <v>31.89</v>
      </c>
      <c r="H12" s="34">
        <v>40.52</v>
      </c>
      <c r="I12" s="34">
        <v>35.58</v>
      </c>
      <c r="J12" s="35">
        <f t="shared" si="1"/>
        <v>31.89</v>
      </c>
      <c r="K12" s="35">
        <f t="shared" si="2"/>
        <v>40.52</v>
      </c>
      <c r="L12" s="35">
        <f t="shared" si="3"/>
        <v>34.53</v>
      </c>
      <c r="M12" s="31">
        <f t="shared" si="4"/>
        <v>0.0003996527778</v>
      </c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 ht="12.75" customHeight="1">
      <c r="A13" s="69">
        <v>9.0</v>
      </c>
      <c r="B13" s="27" t="s">
        <v>115</v>
      </c>
      <c r="C13" s="28"/>
      <c r="D13" s="28"/>
      <c r="E13" s="34">
        <v>45.09</v>
      </c>
      <c r="F13" s="34">
        <v>35.9</v>
      </c>
      <c r="G13" s="34">
        <v>27.38</v>
      </c>
      <c r="H13" s="34">
        <v>30.61</v>
      </c>
      <c r="I13" s="34">
        <v>38.26</v>
      </c>
      <c r="J13" s="35">
        <f t="shared" si="1"/>
        <v>27.38</v>
      </c>
      <c r="K13" s="35">
        <f t="shared" si="2"/>
        <v>45.09</v>
      </c>
      <c r="L13" s="35">
        <f t="shared" si="3"/>
        <v>34.92</v>
      </c>
      <c r="M13" s="31">
        <f t="shared" si="4"/>
        <v>0.0004041666667</v>
      </c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 ht="12.75" customHeight="1">
      <c r="A14" s="69">
        <v>10.0</v>
      </c>
      <c r="B14" s="27" t="s">
        <v>83</v>
      </c>
      <c r="C14" s="33"/>
      <c r="D14" s="33"/>
      <c r="E14" s="34">
        <v>34.84</v>
      </c>
      <c r="F14" s="34">
        <v>38.27</v>
      </c>
      <c r="G14" s="34">
        <v>43.33</v>
      </c>
      <c r="H14" s="34">
        <v>31.26</v>
      </c>
      <c r="I14" s="34">
        <v>32.26</v>
      </c>
      <c r="J14" s="35">
        <f t="shared" si="1"/>
        <v>31.26</v>
      </c>
      <c r="K14" s="35">
        <f t="shared" si="2"/>
        <v>43.33</v>
      </c>
      <c r="L14" s="35">
        <f t="shared" si="3"/>
        <v>35.12</v>
      </c>
      <c r="M14" s="31">
        <f t="shared" si="4"/>
        <v>0.0004064814815</v>
      </c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ht="12.75" customHeight="1">
      <c r="A15" s="69">
        <v>11.0</v>
      </c>
      <c r="B15" s="27" t="s">
        <v>81</v>
      </c>
      <c r="C15" s="33"/>
      <c r="D15" s="33"/>
      <c r="E15" s="34">
        <v>34.03</v>
      </c>
      <c r="F15" s="34">
        <v>35.58</v>
      </c>
      <c r="G15" s="34">
        <v>39.96</v>
      </c>
      <c r="H15" s="34">
        <v>34.68</v>
      </c>
      <c r="I15" s="34">
        <v>43.63</v>
      </c>
      <c r="J15" s="35">
        <f t="shared" si="1"/>
        <v>34.03</v>
      </c>
      <c r="K15" s="35">
        <f t="shared" si="2"/>
        <v>43.63</v>
      </c>
      <c r="L15" s="35">
        <f t="shared" si="3"/>
        <v>36.74</v>
      </c>
      <c r="M15" s="31">
        <f t="shared" si="4"/>
        <v>0.0004252314815</v>
      </c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ht="12.75" customHeight="1">
      <c r="A16" s="69">
        <v>12.0</v>
      </c>
      <c r="B16" s="27" t="s">
        <v>116</v>
      </c>
      <c r="C16" s="28"/>
      <c r="D16" s="28"/>
      <c r="E16" s="29">
        <v>39.84</v>
      </c>
      <c r="F16" s="29">
        <v>39.14</v>
      </c>
      <c r="G16" s="29">
        <v>41.82</v>
      </c>
      <c r="H16" s="29">
        <v>35.51</v>
      </c>
      <c r="I16" s="29">
        <v>32.85</v>
      </c>
      <c r="J16" s="30">
        <f t="shared" si="1"/>
        <v>32.85</v>
      </c>
      <c r="K16" s="30">
        <f t="shared" si="2"/>
        <v>41.82</v>
      </c>
      <c r="L16" s="30">
        <f t="shared" si="3"/>
        <v>38.16</v>
      </c>
      <c r="M16" s="31">
        <f t="shared" si="4"/>
        <v>0.0004416666667</v>
      </c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 ht="12.75" customHeight="1">
      <c r="A17" s="71">
        <v>13.0</v>
      </c>
      <c r="B17" s="27" t="s">
        <v>88</v>
      </c>
      <c r="C17" s="33"/>
      <c r="D17" s="33"/>
      <c r="E17" s="34">
        <v>41.52</v>
      </c>
      <c r="F17" s="34">
        <v>38.81</v>
      </c>
      <c r="G17" s="34">
        <v>34.74</v>
      </c>
      <c r="H17" s="34">
        <v>43.73</v>
      </c>
      <c r="I17" s="34">
        <v>26.56</v>
      </c>
      <c r="J17" s="35">
        <f t="shared" si="1"/>
        <v>26.56</v>
      </c>
      <c r="K17" s="35">
        <f t="shared" si="2"/>
        <v>43.73</v>
      </c>
      <c r="L17" s="35">
        <f t="shared" si="3"/>
        <v>38.36</v>
      </c>
      <c r="M17" s="31">
        <f t="shared" si="4"/>
        <v>0.0004439814815</v>
      </c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 ht="12.75" customHeight="1">
      <c r="A18" s="71">
        <v>14.0</v>
      </c>
      <c r="B18" s="27" t="s">
        <v>117</v>
      </c>
      <c r="C18" s="32"/>
      <c r="D18" s="32"/>
      <c r="E18" s="34">
        <v>37.88</v>
      </c>
      <c r="F18" s="34">
        <v>40.93</v>
      </c>
      <c r="G18" s="34">
        <v>45.08</v>
      </c>
      <c r="H18" s="34">
        <v>39.16</v>
      </c>
      <c r="I18" s="34">
        <v>34.33</v>
      </c>
      <c r="J18" s="35">
        <f t="shared" si="1"/>
        <v>34.33</v>
      </c>
      <c r="K18" s="35">
        <f t="shared" si="2"/>
        <v>45.08</v>
      </c>
      <c r="L18" s="35">
        <f t="shared" si="3"/>
        <v>39.32</v>
      </c>
      <c r="M18" s="31">
        <f t="shared" si="4"/>
        <v>0.0004550925926</v>
      </c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 ht="12.75" customHeight="1">
      <c r="A19" s="71">
        <v>15.0</v>
      </c>
      <c r="B19" s="27" t="s">
        <v>118</v>
      </c>
      <c r="C19" s="28"/>
      <c r="D19" s="28"/>
      <c r="E19" s="29">
        <v>65.16</v>
      </c>
      <c r="F19" s="29">
        <v>34.05</v>
      </c>
      <c r="G19" s="29">
        <v>61.16</v>
      </c>
      <c r="H19" s="29">
        <v>37.38</v>
      </c>
      <c r="I19" s="29">
        <v>37.38</v>
      </c>
      <c r="J19" s="30">
        <f t="shared" si="1"/>
        <v>34.05</v>
      </c>
      <c r="K19" s="30">
        <f t="shared" si="2"/>
        <v>65.16</v>
      </c>
      <c r="L19" s="30">
        <f t="shared" si="3"/>
        <v>45.31</v>
      </c>
      <c r="M19" s="31">
        <f t="shared" si="4"/>
        <v>0.0005244212963</v>
      </c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 ht="12.75" customHeight="1">
      <c r="A20" s="71">
        <v>16.0</v>
      </c>
      <c r="B20" s="27" t="s">
        <v>119</v>
      </c>
      <c r="C20" s="33"/>
      <c r="D20" s="33"/>
      <c r="E20" s="34">
        <v>45.0</v>
      </c>
      <c r="F20" s="34">
        <v>53.0</v>
      </c>
      <c r="G20" s="34">
        <v>62.23</v>
      </c>
      <c r="H20" s="34">
        <v>46.3</v>
      </c>
      <c r="I20" s="34">
        <v>51.23</v>
      </c>
      <c r="J20" s="35">
        <f t="shared" si="1"/>
        <v>45</v>
      </c>
      <c r="K20" s="35">
        <f t="shared" si="2"/>
        <v>62.23</v>
      </c>
      <c r="L20" s="35">
        <f t="shared" si="3"/>
        <v>50.18</v>
      </c>
      <c r="M20" s="31">
        <f t="shared" si="4"/>
        <v>0.000580787037</v>
      </c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 ht="12.75" customHeight="1">
      <c r="A21" s="71">
        <v>17.0</v>
      </c>
      <c r="B21" s="27" t="s">
        <v>120</v>
      </c>
      <c r="C21" s="28"/>
      <c r="D21" s="28"/>
      <c r="E21" s="34">
        <v>47.18</v>
      </c>
      <c r="F21" s="34">
        <v>47.62</v>
      </c>
      <c r="G21" s="34">
        <v>52.45</v>
      </c>
      <c r="H21" s="34">
        <v>50.65</v>
      </c>
      <c r="I21" s="34">
        <v>66.77</v>
      </c>
      <c r="J21" s="35">
        <f t="shared" si="1"/>
        <v>47.18</v>
      </c>
      <c r="K21" s="35">
        <f t="shared" si="2"/>
        <v>66.77</v>
      </c>
      <c r="L21" s="35">
        <f t="shared" si="3"/>
        <v>50.24</v>
      </c>
      <c r="M21" s="31">
        <f t="shared" si="4"/>
        <v>0.0005814814815</v>
      </c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 ht="12.75" customHeight="1">
      <c r="A22" s="71">
        <v>18.0</v>
      </c>
      <c r="B22" s="27" t="s">
        <v>121</v>
      </c>
      <c r="C22" s="33"/>
      <c r="D22" s="33"/>
      <c r="E22" s="34">
        <v>50.61</v>
      </c>
      <c r="F22" s="34">
        <v>47.54</v>
      </c>
      <c r="G22" s="34">
        <v>57.58</v>
      </c>
      <c r="H22" s="34">
        <v>50.72</v>
      </c>
      <c r="I22" s="34">
        <v>74.18</v>
      </c>
      <c r="J22" s="35">
        <f t="shared" si="1"/>
        <v>47.54</v>
      </c>
      <c r="K22" s="35">
        <f t="shared" si="2"/>
        <v>74.18</v>
      </c>
      <c r="L22" s="35">
        <f t="shared" si="3"/>
        <v>52.97</v>
      </c>
      <c r="M22" s="31">
        <f t="shared" si="4"/>
        <v>0.0006130787037</v>
      </c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 ht="12.75" customHeight="1">
      <c r="A23" s="71">
        <v>19.0</v>
      </c>
      <c r="B23" s="27" t="s">
        <v>122</v>
      </c>
      <c r="C23" s="32"/>
      <c r="D23" s="32"/>
      <c r="E23" s="34">
        <v>96.7</v>
      </c>
      <c r="F23" s="34">
        <v>50.25</v>
      </c>
      <c r="G23" s="34">
        <v>47.09</v>
      </c>
      <c r="H23" s="34">
        <v>41.28</v>
      </c>
      <c r="I23" s="34">
        <v>62.25</v>
      </c>
      <c r="J23" s="35">
        <f t="shared" si="1"/>
        <v>41.28</v>
      </c>
      <c r="K23" s="35">
        <f t="shared" si="2"/>
        <v>96.7</v>
      </c>
      <c r="L23" s="35">
        <f t="shared" si="3"/>
        <v>53.2</v>
      </c>
      <c r="M23" s="31">
        <f t="shared" si="4"/>
        <v>0.0006157407407</v>
      </c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 ht="12.75" customHeight="1">
      <c r="A24" s="71">
        <v>20.0</v>
      </c>
      <c r="B24" s="27" t="s">
        <v>82</v>
      </c>
      <c r="C24" s="32"/>
      <c r="D24" s="32"/>
      <c r="E24" s="34">
        <v>45.61</v>
      </c>
      <c r="F24" s="34">
        <v>56.78</v>
      </c>
      <c r="G24" s="34">
        <v>63.78</v>
      </c>
      <c r="H24" s="34">
        <v>61.73</v>
      </c>
      <c r="I24" s="34">
        <v>43.84</v>
      </c>
      <c r="J24" s="35">
        <f t="shared" si="1"/>
        <v>43.84</v>
      </c>
      <c r="K24" s="35">
        <f t="shared" si="2"/>
        <v>63.78</v>
      </c>
      <c r="L24" s="35">
        <f t="shared" si="3"/>
        <v>54.71</v>
      </c>
      <c r="M24" s="31">
        <f t="shared" si="4"/>
        <v>0.0006332175926</v>
      </c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 ht="12.75" customHeight="1">
      <c r="A25" s="71">
        <v>21.0</v>
      </c>
      <c r="B25" s="27" t="s">
        <v>123</v>
      </c>
      <c r="C25" s="33"/>
      <c r="D25" s="33"/>
      <c r="E25" s="34">
        <v>78.96</v>
      </c>
      <c r="F25" s="34">
        <v>57.01</v>
      </c>
      <c r="G25" s="34">
        <v>87.79</v>
      </c>
      <c r="H25" s="34">
        <v>61.07</v>
      </c>
      <c r="I25" s="34">
        <v>63.34</v>
      </c>
      <c r="J25" s="35">
        <f t="shared" si="1"/>
        <v>57.01</v>
      </c>
      <c r="K25" s="35">
        <f t="shared" si="2"/>
        <v>87.79</v>
      </c>
      <c r="L25" s="35">
        <f t="shared" si="3"/>
        <v>67.79</v>
      </c>
      <c r="M25" s="31">
        <f t="shared" si="4"/>
        <v>0.0007846064815</v>
      </c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 ht="12.75" customHeight="1">
      <c r="A26" s="71">
        <v>22.0</v>
      </c>
      <c r="B26" s="27" t="s">
        <v>124</v>
      </c>
      <c r="C26" s="72"/>
      <c r="D26" s="72"/>
      <c r="E26" s="29">
        <v>48.48</v>
      </c>
      <c r="F26" s="29">
        <v>63.73</v>
      </c>
      <c r="G26" s="29">
        <v>79.63</v>
      </c>
      <c r="H26" s="29">
        <v>90.64</v>
      </c>
      <c r="I26" s="29" t="s">
        <v>49</v>
      </c>
      <c r="J26" s="30">
        <f t="shared" si="1"/>
        <v>48.48</v>
      </c>
      <c r="K26" s="30" t="str">
        <f t="shared" si="2"/>
        <v>DNF</v>
      </c>
      <c r="L26" s="30">
        <f t="shared" si="3"/>
        <v>78</v>
      </c>
      <c r="M26" s="31">
        <f t="shared" si="4"/>
        <v>0.0009027777778</v>
      </c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 ht="12.75" customHeight="1">
      <c r="A27" s="71">
        <v>23.0</v>
      </c>
      <c r="B27" s="27" t="s">
        <v>26</v>
      </c>
      <c r="C27" s="39"/>
      <c r="D27" s="39"/>
      <c r="E27" s="73">
        <v>93.48</v>
      </c>
      <c r="F27" s="73">
        <v>75.91</v>
      </c>
      <c r="G27" s="73">
        <v>82.09</v>
      </c>
      <c r="H27" s="73">
        <v>108.3</v>
      </c>
      <c r="I27" s="73">
        <v>71.95</v>
      </c>
      <c r="J27" s="43">
        <f t="shared" si="1"/>
        <v>71.95</v>
      </c>
      <c r="K27" s="43">
        <f t="shared" si="2"/>
        <v>108.3</v>
      </c>
      <c r="L27" s="74">
        <f t="shared" si="3"/>
        <v>83.83</v>
      </c>
      <c r="M27" s="31">
        <f t="shared" si="4"/>
        <v>0.0009702546296</v>
      </c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 ht="12.75" customHeight="1">
      <c r="A28" s="71">
        <v>24.0</v>
      </c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ht="12.75" customHeight="1">
      <c r="A29" s="71">
        <v>25.0</v>
      </c>
      <c r="B29" s="27"/>
      <c r="C29" s="33"/>
      <c r="D29" s="33"/>
      <c r="E29" s="34"/>
      <c r="F29" s="34"/>
      <c r="G29" s="34"/>
      <c r="H29" s="34"/>
      <c r="I29" s="34"/>
      <c r="J29" s="35" t="str">
        <f t="shared" ref="J29:J98" si="5">IF(MIN(E29:I29)&gt;0,MIN(E29:I29),IF(COUNTBLANK(E29:I29)=5,"","DNF"))</f>
        <v/>
      </c>
      <c r="K29" s="35" t="str">
        <f t="shared" ref="K29:K98" si="6">IF(COUNTBLANK(E29:I29)&gt;0,"",IF(COUNTIF(E29:I29,"DNF")+COUNTIF(E29:I29,"DNS")&gt;0,"DNF",MAX(E29:I29)))</f>
        <v/>
      </c>
      <c r="L29" s="35" t="str">
        <f t="shared" ref="L29:L32" si="7">IF(COUNTBLANK(E29:I29)&gt;0,"",IF(COUNTIF(E29:I29,"DNF")+COUNTIF(E29:I29,"DNS")&gt;1,"DNF",ROUND(IF(COUNTIF(E29:I29,"DNF")+COUNTIF(E29:I29,"DNS")&gt;0,(SUM(E29:I29)-J29)/3,(SUM(E29:I29)-J29-K29)/3),2)))</f>
        <v/>
      </c>
      <c r="M29" s="31">
        <f t="shared" ref="M29:M98" si="8">L29/86400</f>
        <v>0</v>
      </c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 ht="12.75" customHeight="1">
      <c r="A30" s="71">
        <v>26.0</v>
      </c>
      <c r="B30" s="27"/>
      <c r="C30" s="32"/>
      <c r="D30" s="32"/>
      <c r="E30" s="34"/>
      <c r="F30" s="34"/>
      <c r="G30" s="34"/>
      <c r="H30" s="34"/>
      <c r="I30" s="34"/>
      <c r="J30" s="35" t="str">
        <f t="shared" si="5"/>
        <v/>
      </c>
      <c r="K30" s="35" t="str">
        <f t="shared" si="6"/>
        <v/>
      </c>
      <c r="L30" s="35" t="str">
        <f t="shared" si="7"/>
        <v/>
      </c>
      <c r="M30" s="31">
        <f t="shared" si="8"/>
        <v>0</v>
      </c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 ht="12.75" customHeight="1">
      <c r="A31" s="71">
        <v>27.0</v>
      </c>
      <c r="B31" s="27"/>
      <c r="C31" s="32"/>
      <c r="D31" s="32"/>
      <c r="E31" s="34"/>
      <c r="F31" s="34"/>
      <c r="G31" s="34"/>
      <c r="H31" s="34"/>
      <c r="I31" s="34"/>
      <c r="J31" s="35" t="str">
        <f t="shared" si="5"/>
        <v/>
      </c>
      <c r="K31" s="35" t="str">
        <f t="shared" si="6"/>
        <v/>
      </c>
      <c r="L31" s="35" t="str">
        <f t="shared" si="7"/>
        <v/>
      </c>
      <c r="M31" s="31">
        <f t="shared" si="8"/>
        <v>0</v>
      </c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 ht="12.75" customHeight="1">
      <c r="A32" s="71">
        <v>28.0</v>
      </c>
      <c r="B32" s="27"/>
      <c r="C32" s="70"/>
      <c r="D32" s="70"/>
      <c r="E32" s="34"/>
      <c r="F32" s="34"/>
      <c r="G32" s="34"/>
      <c r="H32" s="34"/>
      <c r="I32" s="34"/>
      <c r="J32" s="35" t="str">
        <f t="shared" si="5"/>
        <v/>
      </c>
      <c r="K32" s="35" t="str">
        <f t="shared" si="6"/>
        <v/>
      </c>
      <c r="L32" s="35" t="str">
        <f t="shared" si="7"/>
        <v/>
      </c>
      <c r="M32" s="31">
        <f t="shared" si="8"/>
        <v>0</v>
      </c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 ht="12.75" customHeight="1">
      <c r="A33" s="71">
        <v>29.0</v>
      </c>
      <c r="B33" s="27"/>
      <c r="C33" s="32"/>
      <c r="D33" s="32"/>
      <c r="E33" s="34"/>
      <c r="F33" s="34"/>
      <c r="G33" s="34"/>
      <c r="H33" s="34"/>
      <c r="I33" s="34"/>
      <c r="J33" s="35" t="str">
        <f t="shared" si="5"/>
        <v/>
      </c>
      <c r="K33" s="35" t="str">
        <f t="shared" si="6"/>
        <v/>
      </c>
      <c r="L33" s="35" t="str">
        <f>IF(COUNTBLANK(E33:I33)&gt;0,"",IF(COUNTIF(E33:I33,"DNF")+COUNTIF(E33:I33,"DNS")&gt;1,"DNF",IF(COUNTIF(E33:I33,"DNF")+COUNTIF(E33:I33,"DNS")&gt;0,(SUM(E33:I33)-J33)/3,(SUM(E33:I33)-J33-K33)/3)))</f>
        <v/>
      </c>
      <c r="M33" s="31">
        <f t="shared" si="8"/>
        <v>0</v>
      </c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ht="12.75" customHeight="1">
      <c r="A34" s="71">
        <v>30.0</v>
      </c>
      <c r="B34" s="27"/>
      <c r="C34" s="28"/>
      <c r="D34" s="28"/>
      <c r="E34" s="34"/>
      <c r="F34" s="34"/>
      <c r="G34" s="34"/>
      <c r="H34" s="34"/>
      <c r="I34" s="34"/>
      <c r="J34" s="35" t="str">
        <f t="shared" si="5"/>
        <v/>
      </c>
      <c r="K34" s="35" t="str">
        <f t="shared" si="6"/>
        <v/>
      </c>
      <c r="L34" s="35" t="str">
        <f t="shared" ref="L34:L98" si="9">IF(COUNTBLANK(E34:I34)&gt;0,"",IF(COUNTIF(E34:I34,"DNF")+COUNTIF(E34:I34,"DNS")&gt;1,"DNF",ROUND(IF(COUNTIF(E34:I34,"DNF")+COUNTIF(E34:I34,"DNS")&gt;0,(SUM(E34:I34)-J34)/3,(SUM(E34:I34)-J34-K34)/3),2)))</f>
        <v/>
      </c>
      <c r="M34" s="31">
        <f t="shared" si="8"/>
        <v>0</v>
      </c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 ht="12.75" customHeight="1">
      <c r="A35" s="71">
        <v>31.0</v>
      </c>
      <c r="B35" s="27"/>
      <c r="C35" s="33"/>
      <c r="D35" s="33"/>
      <c r="E35" s="34"/>
      <c r="F35" s="34"/>
      <c r="G35" s="34"/>
      <c r="H35" s="34"/>
      <c r="I35" s="34"/>
      <c r="J35" s="35" t="str">
        <f t="shared" si="5"/>
        <v/>
      </c>
      <c r="K35" s="35" t="str">
        <f t="shared" si="6"/>
        <v/>
      </c>
      <c r="L35" s="35" t="str">
        <f t="shared" si="9"/>
        <v/>
      </c>
      <c r="M35" s="31">
        <f t="shared" si="8"/>
        <v>0</v>
      </c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 ht="12.75" customHeight="1">
      <c r="A36" s="71">
        <v>32.0</v>
      </c>
      <c r="B36" s="27"/>
      <c r="C36" s="75"/>
      <c r="D36" s="75"/>
      <c r="E36" s="34"/>
      <c r="F36" s="34"/>
      <c r="G36" s="34"/>
      <c r="H36" s="34"/>
      <c r="I36" s="34"/>
      <c r="J36" s="35" t="str">
        <f t="shared" si="5"/>
        <v/>
      </c>
      <c r="K36" s="35" t="str">
        <f t="shared" si="6"/>
        <v/>
      </c>
      <c r="L36" s="35" t="str">
        <f t="shared" si="9"/>
        <v/>
      </c>
      <c r="M36" s="31">
        <f t="shared" si="8"/>
        <v>0</v>
      </c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 ht="12.75" customHeight="1">
      <c r="A37" s="71">
        <v>33.0</v>
      </c>
      <c r="B37" s="27"/>
      <c r="C37" s="75"/>
      <c r="D37" s="75"/>
      <c r="E37" s="34"/>
      <c r="F37" s="34"/>
      <c r="G37" s="34"/>
      <c r="H37" s="34"/>
      <c r="I37" s="34"/>
      <c r="J37" s="35" t="str">
        <f t="shared" si="5"/>
        <v/>
      </c>
      <c r="K37" s="35" t="str">
        <f t="shared" si="6"/>
        <v/>
      </c>
      <c r="L37" s="35" t="str">
        <f t="shared" si="9"/>
        <v/>
      </c>
      <c r="M37" s="31">
        <f t="shared" si="8"/>
        <v>0</v>
      </c>
    </row>
    <row r="38" ht="12.75" customHeight="1">
      <c r="A38" s="71">
        <v>34.0</v>
      </c>
      <c r="B38" s="27"/>
      <c r="C38" s="72"/>
      <c r="D38" s="72"/>
      <c r="E38" s="29"/>
      <c r="F38" s="29"/>
      <c r="G38" s="29"/>
      <c r="H38" s="29"/>
      <c r="I38" s="29"/>
      <c r="J38" s="30" t="str">
        <f t="shared" si="5"/>
        <v/>
      </c>
      <c r="K38" s="30" t="str">
        <f t="shared" si="6"/>
        <v/>
      </c>
      <c r="L38" s="30" t="str">
        <f t="shared" si="9"/>
        <v/>
      </c>
      <c r="M38" s="31">
        <f t="shared" si="8"/>
        <v>0</v>
      </c>
    </row>
    <row r="39" ht="12.75" customHeight="1">
      <c r="A39" s="71">
        <v>35.0</v>
      </c>
      <c r="B39" s="27"/>
      <c r="C39" s="39"/>
      <c r="D39" s="39"/>
      <c r="E39" s="34"/>
      <c r="F39" s="34"/>
      <c r="G39" s="34"/>
      <c r="H39" s="34"/>
      <c r="I39" s="34"/>
      <c r="J39" s="35" t="str">
        <f t="shared" si="5"/>
        <v/>
      </c>
      <c r="K39" s="35" t="str">
        <f t="shared" si="6"/>
        <v/>
      </c>
      <c r="L39" s="35" t="str">
        <f t="shared" si="9"/>
        <v/>
      </c>
      <c r="M39" s="31">
        <f t="shared" si="8"/>
        <v>0</v>
      </c>
    </row>
    <row r="40" ht="12.75" customHeight="1">
      <c r="A40" s="71">
        <v>36.0</v>
      </c>
      <c r="B40" s="27"/>
      <c r="C40" s="25"/>
      <c r="D40" s="25"/>
      <c r="E40" s="34"/>
      <c r="F40" s="34"/>
      <c r="G40" s="34"/>
      <c r="H40" s="34"/>
      <c r="I40" s="34"/>
      <c r="J40" s="35" t="str">
        <f t="shared" si="5"/>
        <v/>
      </c>
      <c r="K40" s="35" t="str">
        <f t="shared" si="6"/>
        <v/>
      </c>
      <c r="L40" s="35" t="str">
        <f t="shared" si="9"/>
        <v/>
      </c>
      <c r="M40" s="31">
        <f t="shared" si="8"/>
        <v>0</v>
      </c>
    </row>
    <row r="41" ht="12.75" customHeight="1">
      <c r="A41" s="71">
        <v>37.0</v>
      </c>
      <c r="B41" s="27"/>
      <c r="C41" s="75"/>
      <c r="D41" s="75"/>
      <c r="E41" s="34"/>
      <c r="F41" s="34"/>
      <c r="G41" s="34"/>
      <c r="H41" s="34"/>
      <c r="I41" s="34"/>
      <c r="J41" s="35" t="str">
        <f t="shared" si="5"/>
        <v/>
      </c>
      <c r="K41" s="35" t="str">
        <f t="shared" si="6"/>
        <v/>
      </c>
      <c r="L41" s="35" t="str">
        <f t="shared" si="9"/>
        <v/>
      </c>
      <c r="M41" s="31">
        <f t="shared" si="8"/>
        <v>0</v>
      </c>
    </row>
    <row r="42" ht="12.75" customHeight="1">
      <c r="A42" s="71">
        <v>38.0</v>
      </c>
      <c r="B42" s="27"/>
      <c r="C42" s="76"/>
      <c r="D42" s="76"/>
      <c r="E42" s="34"/>
      <c r="F42" s="34"/>
      <c r="G42" s="34"/>
      <c r="H42" s="34"/>
      <c r="I42" s="34"/>
      <c r="J42" s="35" t="str">
        <f t="shared" si="5"/>
        <v/>
      </c>
      <c r="K42" s="35" t="str">
        <f t="shared" si="6"/>
        <v/>
      </c>
      <c r="L42" s="35" t="str">
        <f t="shared" si="9"/>
        <v/>
      </c>
      <c r="M42" s="31">
        <f t="shared" si="8"/>
        <v>0</v>
      </c>
    </row>
    <row r="43" ht="12.75" customHeight="1">
      <c r="A43" s="71">
        <v>39.0</v>
      </c>
      <c r="B43" s="27"/>
      <c r="C43" s="76"/>
      <c r="D43" s="76"/>
      <c r="E43" s="34"/>
      <c r="F43" s="34"/>
      <c r="G43" s="34"/>
      <c r="H43" s="34"/>
      <c r="I43" s="34"/>
      <c r="J43" s="35" t="str">
        <f t="shared" si="5"/>
        <v/>
      </c>
      <c r="K43" s="35" t="str">
        <f t="shared" si="6"/>
        <v/>
      </c>
      <c r="L43" s="35" t="str">
        <f t="shared" si="9"/>
        <v/>
      </c>
      <c r="M43" s="31">
        <f t="shared" si="8"/>
        <v>0</v>
      </c>
    </row>
    <row r="44">
      <c r="A44" s="71">
        <v>40.0</v>
      </c>
      <c r="B44" s="27"/>
      <c r="C44" s="76"/>
      <c r="D44" s="76"/>
      <c r="E44" s="34"/>
      <c r="F44" s="34"/>
      <c r="G44" s="34"/>
      <c r="H44" s="34"/>
      <c r="I44" s="34"/>
      <c r="J44" s="35" t="str">
        <f t="shared" si="5"/>
        <v/>
      </c>
      <c r="K44" s="35" t="str">
        <f t="shared" si="6"/>
        <v/>
      </c>
      <c r="L44" s="35" t="str">
        <f t="shared" si="9"/>
        <v/>
      </c>
      <c r="M44" s="31">
        <f t="shared" si="8"/>
        <v>0</v>
      </c>
    </row>
    <row r="45" ht="12.75" customHeight="1">
      <c r="A45" s="71">
        <v>41.0</v>
      </c>
      <c r="B45" s="27"/>
      <c r="C45" s="77"/>
      <c r="D45" s="77"/>
      <c r="E45" s="34"/>
      <c r="F45" s="34"/>
      <c r="G45" s="34"/>
      <c r="H45" s="34"/>
      <c r="I45" s="34"/>
      <c r="J45" s="35" t="str">
        <f t="shared" si="5"/>
        <v/>
      </c>
      <c r="K45" s="35" t="str">
        <f t="shared" si="6"/>
        <v/>
      </c>
      <c r="L45" s="35" t="str">
        <f t="shared" si="9"/>
        <v/>
      </c>
      <c r="M45" s="31">
        <f t="shared" si="8"/>
        <v>0</v>
      </c>
    </row>
    <row r="46" ht="12.75" customHeight="1">
      <c r="A46" s="71">
        <v>42.0</v>
      </c>
      <c r="B46" s="27"/>
      <c r="C46" s="76"/>
      <c r="D46" s="76"/>
      <c r="E46" s="34"/>
      <c r="F46" s="34"/>
      <c r="G46" s="34"/>
      <c r="H46" s="34"/>
      <c r="I46" s="34"/>
      <c r="J46" s="35" t="str">
        <f t="shared" si="5"/>
        <v/>
      </c>
      <c r="K46" s="35" t="str">
        <f t="shared" si="6"/>
        <v/>
      </c>
      <c r="L46" s="35" t="str">
        <f t="shared" si="9"/>
        <v/>
      </c>
      <c r="M46" s="31">
        <f t="shared" si="8"/>
        <v>0</v>
      </c>
    </row>
    <row r="47" ht="12.75" customHeight="1">
      <c r="A47" s="71">
        <v>43.0</v>
      </c>
      <c r="B47" s="27"/>
      <c r="C47" s="72"/>
      <c r="D47" s="72"/>
      <c r="E47" s="29"/>
      <c r="F47" s="29"/>
      <c r="G47" s="29"/>
      <c r="H47" s="29"/>
      <c r="I47" s="29"/>
      <c r="J47" s="30" t="str">
        <f t="shared" si="5"/>
        <v/>
      </c>
      <c r="K47" s="30" t="str">
        <f t="shared" si="6"/>
        <v/>
      </c>
      <c r="L47" s="30" t="str">
        <f t="shared" si="9"/>
        <v/>
      </c>
      <c r="M47" s="31">
        <f t="shared" si="8"/>
        <v>0</v>
      </c>
    </row>
    <row r="48" ht="12.75" customHeight="1">
      <c r="A48" s="71">
        <v>44.0</v>
      </c>
      <c r="B48" s="27"/>
      <c r="C48" s="76"/>
      <c r="D48" s="76"/>
      <c r="E48" s="34"/>
      <c r="F48" s="34"/>
      <c r="G48" s="34"/>
      <c r="H48" s="34"/>
      <c r="I48" s="34"/>
      <c r="J48" s="35" t="str">
        <f t="shared" si="5"/>
        <v/>
      </c>
      <c r="K48" s="35" t="str">
        <f t="shared" si="6"/>
        <v/>
      </c>
      <c r="L48" s="35" t="str">
        <f t="shared" si="9"/>
        <v/>
      </c>
      <c r="M48" s="31">
        <f t="shared" si="8"/>
        <v>0</v>
      </c>
    </row>
    <row r="49" ht="12.75" customHeight="1">
      <c r="A49" s="71">
        <v>45.0</v>
      </c>
      <c r="B49" s="27"/>
      <c r="C49" s="76"/>
      <c r="D49" s="76"/>
      <c r="E49" s="34"/>
      <c r="F49" s="34"/>
      <c r="G49" s="34"/>
      <c r="H49" s="34"/>
      <c r="I49" s="34"/>
      <c r="J49" s="35" t="str">
        <f t="shared" si="5"/>
        <v/>
      </c>
      <c r="K49" s="35" t="str">
        <f t="shared" si="6"/>
        <v/>
      </c>
      <c r="L49" s="35" t="str">
        <f t="shared" si="9"/>
        <v/>
      </c>
      <c r="M49" s="31">
        <f t="shared" si="8"/>
        <v>0</v>
      </c>
    </row>
    <row r="50" ht="12.75" customHeight="1">
      <c r="A50" s="71">
        <v>46.0</v>
      </c>
      <c r="B50" s="27"/>
      <c r="C50" s="72"/>
      <c r="D50" s="72"/>
      <c r="E50" s="29"/>
      <c r="F50" s="29"/>
      <c r="G50" s="29"/>
      <c r="H50" s="29"/>
      <c r="I50" s="29"/>
      <c r="J50" s="30" t="str">
        <f t="shared" si="5"/>
        <v/>
      </c>
      <c r="K50" s="30" t="str">
        <f t="shared" si="6"/>
        <v/>
      </c>
      <c r="L50" s="30" t="str">
        <f t="shared" si="9"/>
        <v/>
      </c>
      <c r="M50" s="31">
        <f t="shared" si="8"/>
        <v>0</v>
      </c>
    </row>
    <row r="51" ht="12.75" customHeight="1">
      <c r="A51" s="71">
        <v>47.0</v>
      </c>
      <c r="B51" s="27"/>
      <c r="C51" s="76"/>
      <c r="D51" s="76"/>
      <c r="E51" s="34"/>
      <c r="F51" s="34"/>
      <c r="G51" s="34"/>
      <c r="H51" s="34"/>
      <c r="I51" s="34"/>
      <c r="J51" s="35" t="str">
        <f t="shared" si="5"/>
        <v/>
      </c>
      <c r="K51" s="35" t="str">
        <f t="shared" si="6"/>
        <v/>
      </c>
      <c r="L51" s="35" t="str">
        <f t="shared" si="9"/>
        <v/>
      </c>
      <c r="M51" s="31">
        <f t="shared" si="8"/>
        <v>0</v>
      </c>
    </row>
    <row r="52" ht="12.75" customHeight="1">
      <c r="A52" s="71">
        <v>48.0</v>
      </c>
      <c r="B52" s="27"/>
      <c r="C52" s="72"/>
      <c r="D52" s="72"/>
      <c r="E52" s="29"/>
      <c r="F52" s="29"/>
      <c r="G52" s="29"/>
      <c r="H52" s="29"/>
      <c r="I52" s="29"/>
      <c r="J52" s="30" t="str">
        <f t="shared" si="5"/>
        <v/>
      </c>
      <c r="K52" s="30" t="str">
        <f t="shared" si="6"/>
        <v/>
      </c>
      <c r="L52" s="30" t="str">
        <f t="shared" si="9"/>
        <v/>
      </c>
      <c r="M52" s="31">
        <f t="shared" si="8"/>
        <v>0</v>
      </c>
    </row>
    <row r="53" ht="12.75" customHeight="1">
      <c r="A53" s="71">
        <v>49.0</v>
      </c>
      <c r="B53" s="27"/>
      <c r="C53" s="76"/>
      <c r="D53" s="76"/>
      <c r="E53" s="34"/>
      <c r="F53" s="34"/>
      <c r="G53" s="34"/>
      <c r="H53" s="34"/>
      <c r="I53" s="34"/>
      <c r="J53" s="35" t="str">
        <f t="shared" si="5"/>
        <v/>
      </c>
      <c r="K53" s="35" t="str">
        <f t="shared" si="6"/>
        <v/>
      </c>
      <c r="L53" s="35" t="str">
        <f t="shared" si="9"/>
        <v/>
      </c>
      <c r="M53" s="31">
        <f t="shared" si="8"/>
        <v>0</v>
      </c>
    </row>
    <row r="54" ht="12.75" customHeight="1">
      <c r="A54" s="71">
        <v>50.0</v>
      </c>
      <c r="B54" s="27"/>
      <c r="C54" s="76"/>
      <c r="D54" s="76"/>
      <c r="E54" s="34"/>
      <c r="F54" s="34"/>
      <c r="G54" s="34"/>
      <c r="H54" s="34"/>
      <c r="I54" s="34"/>
      <c r="J54" s="35" t="str">
        <f t="shared" si="5"/>
        <v/>
      </c>
      <c r="K54" s="35" t="str">
        <f t="shared" si="6"/>
        <v/>
      </c>
      <c r="L54" s="35" t="str">
        <f t="shared" si="9"/>
        <v/>
      </c>
      <c r="M54" s="31">
        <f t="shared" si="8"/>
        <v>0</v>
      </c>
    </row>
    <row r="55" ht="12.75" customHeight="1">
      <c r="A55" s="71">
        <v>51.0</v>
      </c>
      <c r="B55" s="27"/>
      <c r="C55" s="76"/>
      <c r="D55" s="76"/>
      <c r="E55" s="34"/>
      <c r="F55" s="34"/>
      <c r="G55" s="34"/>
      <c r="H55" s="34"/>
      <c r="I55" s="34"/>
      <c r="J55" s="35" t="str">
        <f t="shared" si="5"/>
        <v/>
      </c>
      <c r="K55" s="35" t="str">
        <f t="shared" si="6"/>
        <v/>
      </c>
      <c r="L55" s="35" t="str">
        <f t="shared" si="9"/>
        <v/>
      </c>
      <c r="M55" s="31">
        <f t="shared" si="8"/>
        <v>0</v>
      </c>
    </row>
    <row r="56" ht="12.75" customHeight="1">
      <c r="A56" s="33">
        <f t="shared" ref="A56:A98" si="10">IF(AND(L54=L55,J54=J55),A55,ROW()-4)</f>
        <v>51</v>
      </c>
      <c r="B56" s="27"/>
      <c r="C56" s="76"/>
      <c r="D56" s="76"/>
      <c r="E56" s="34"/>
      <c r="F56" s="34"/>
      <c r="G56" s="34"/>
      <c r="H56" s="34"/>
      <c r="I56" s="34"/>
      <c r="J56" s="35" t="str">
        <f t="shared" si="5"/>
        <v/>
      </c>
      <c r="K56" s="35" t="str">
        <f t="shared" si="6"/>
        <v/>
      </c>
      <c r="L56" s="35" t="str">
        <f t="shared" si="9"/>
        <v/>
      </c>
      <c r="M56" s="31">
        <f t="shared" si="8"/>
        <v>0</v>
      </c>
    </row>
    <row r="57" ht="12.75" customHeight="1">
      <c r="A57" s="33">
        <f t="shared" si="10"/>
        <v>51</v>
      </c>
      <c r="B57" s="27"/>
      <c r="C57" s="76"/>
      <c r="D57" s="76"/>
      <c r="E57" s="34"/>
      <c r="F57" s="34"/>
      <c r="G57" s="34"/>
      <c r="H57" s="34"/>
      <c r="I57" s="34"/>
      <c r="J57" s="35" t="str">
        <f t="shared" si="5"/>
        <v/>
      </c>
      <c r="K57" s="35" t="str">
        <f t="shared" si="6"/>
        <v/>
      </c>
      <c r="L57" s="35" t="str">
        <f t="shared" si="9"/>
        <v/>
      </c>
      <c r="M57" s="31">
        <f t="shared" si="8"/>
        <v>0</v>
      </c>
    </row>
    <row r="58" ht="12.75" customHeight="1">
      <c r="A58" s="33">
        <f t="shared" si="10"/>
        <v>51</v>
      </c>
      <c r="B58" s="27"/>
      <c r="C58" s="76"/>
      <c r="D58" s="76"/>
      <c r="E58" s="34"/>
      <c r="F58" s="34"/>
      <c r="G58" s="34"/>
      <c r="H58" s="34"/>
      <c r="I58" s="34"/>
      <c r="J58" s="35" t="str">
        <f t="shared" si="5"/>
        <v/>
      </c>
      <c r="K58" s="35" t="str">
        <f t="shared" si="6"/>
        <v/>
      </c>
      <c r="L58" s="35" t="str">
        <f t="shared" si="9"/>
        <v/>
      </c>
      <c r="M58" s="31">
        <f t="shared" si="8"/>
        <v>0</v>
      </c>
    </row>
    <row r="59" ht="12.75" customHeight="1">
      <c r="A59" s="33">
        <f t="shared" si="10"/>
        <v>51</v>
      </c>
      <c r="B59" s="27"/>
      <c r="C59" s="76"/>
      <c r="D59" s="76"/>
      <c r="E59" s="34"/>
      <c r="F59" s="34"/>
      <c r="G59" s="34"/>
      <c r="H59" s="34"/>
      <c r="I59" s="34"/>
      <c r="J59" s="35" t="str">
        <f t="shared" si="5"/>
        <v/>
      </c>
      <c r="K59" s="35" t="str">
        <f t="shared" si="6"/>
        <v/>
      </c>
      <c r="L59" s="35" t="str">
        <f t="shared" si="9"/>
        <v/>
      </c>
      <c r="M59" s="31">
        <f t="shared" si="8"/>
        <v>0</v>
      </c>
    </row>
    <row r="60" ht="12.75" customHeight="1">
      <c r="A60" s="33">
        <f t="shared" si="10"/>
        <v>51</v>
      </c>
      <c r="B60" s="27"/>
      <c r="C60" s="76"/>
      <c r="D60" s="76"/>
      <c r="E60" s="34"/>
      <c r="F60" s="34"/>
      <c r="G60" s="34"/>
      <c r="H60" s="34"/>
      <c r="I60" s="34"/>
      <c r="J60" s="35" t="str">
        <f t="shared" si="5"/>
        <v/>
      </c>
      <c r="K60" s="35" t="str">
        <f t="shared" si="6"/>
        <v/>
      </c>
      <c r="L60" s="35" t="str">
        <f t="shared" si="9"/>
        <v/>
      </c>
      <c r="M60" s="31">
        <f t="shared" si="8"/>
        <v>0</v>
      </c>
    </row>
    <row r="61" ht="12.75" customHeight="1">
      <c r="A61" s="33">
        <f t="shared" si="10"/>
        <v>51</v>
      </c>
      <c r="B61" s="27"/>
      <c r="C61" s="76"/>
      <c r="D61" s="76"/>
      <c r="E61" s="34"/>
      <c r="F61" s="34"/>
      <c r="G61" s="34"/>
      <c r="H61" s="34"/>
      <c r="I61" s="34"/>
      <c r="J61" s="35" t="str">
        <f t="shared" si="5"/>
        <v/>
      </c>
      <c r="K61" s="35" t="str">
        <f t="shared" si="6"/>
        <v/>
      </c>
      <c r="L61" s="35" t="str">
        <f t="shared" si="9"/>
        <v/>
      </c>
      <c r="M61" s="31">
        <f t="shared" si="8"/>
        <v>0</v>
      </c>
    </row>
    <row r="62" ht="12.75" customHeight="1">
      <c r="A62" s="33">
        <f t="shared" si="10"/>
        <v>51</v>
      </c>
      <c r="B62" s="27"/>
      <c r="C62" s="76"/>
      <c r="D62" s="76"/>
      <c r="E62" s="34"/>
      <c r="F62" s="34"/>
      <c r="G62" s="34"/>
      <c r="H62" s="34"/>
      <c r="I62" s="34"/>
      <c r="J62" s="35" t="str">
        <f t="shared" si="5"/>
        <v/>
      </c>
      <c r="K62" s="35" t="str">
        <f t="shared" si="6"/>
        <v/>
      </c>
      <c r="L62" s="35" t="str">
        <f t="shared" si="9"/>
        <v/>
      </c>
      <c r="M62" s="31">
        <f t="shared" si="8"/>
        <v>0</v>
      </c>
    </row>
    <row r="63" ht="12.75" customHeight="1">
      <c r="A63" s="33">
        <f t="shared" si="10"/>
        <v>51</v>
      </c>
      <c r="B63" s="27"/>
      <c r="C63" s="76"/>
      <c r="D63" s="76"/>
      <c r="E63" s="34"/>
      <c r="F63" s="34"/>
      <c r="G63" s="34"/>
      <c r="H63" s="34"/>
      <c r="I63" s="34"/>
      <c r="J63" s="35" t="str">
        <f t="shared" si="5"/>
        <v/>
      </c>
      <c r="K63" s="35" t="str">
        <f t="shared" si="6"/>
        <v/>
      </c>
      <c r="L63" s="35" t="str">
        <f t="shared" si="9"/>
        <v/>
      </c>
      <c r="M63" s="31">
        <f t="shared" si="8"/>
        <v>0</v>
      </c>
    </row>
    <row r="64" ht="12.75" customHeight="1">
      <c r="A64" s="33">
        <f t="shared" si="10"/>
        <v>51</v>
      </c>
      <c r="B64" s="27"/>
      <c r="C64" s="76"/>
      <c r="D64" s="76"/>
      <c r="E64" s="34"/>
      <c r="F64" s="34"/>
      <c r="G64" s="34"/>
      <c r="H64" s="34"/>
      <c r="I64" s="34"/>
      <c r="J64" s="35" t="str">
        <f t="shared" si="5"/>
        <v/>
      </c>
      <c r="K64" s="35" t="str">
        <f t="shared" si="6"/>
        <v/>
      </c>
      <c r="L64" s="35" t="str">
        <f t="shared" si="9"/>
        <v/>
      </c>
      <c r="M64" s="31">
        <f t="shared" si="8"/>
        <v>0</v>
      </c>
    </row>
    <row r="65" ht="12.75" customHeight="1">
      <c r="A65" s="33">
        <f t="shared" si="10"/>
        <v>51</v>
      </c>
      <c r="B65" s="27"/>
      <c r="C65" s="76"/>
      <c r="D65" s="76"/>
      <c r="E65" s="34"/>
      <c r="F65" s="34"/>
      <c r="G65" s="34"/>
      <c r="H65" s="34"/>
      <c r="I65" s="34"/>
      <c r="J65" s="35" t="str">
        <f t="shared" si="5"/>
        <v/>
      </c>
      <c r="K65" s="35" t="str">
        <f t="shared" si="6"/>
        <v/>
      </c>
      <c r="L65" s="35" t="str">
        <f t="shared" si="9"/>
        <v/>
      </c>
      <c r="M65" s="31">
        <f t="shared" si="8"/>
        <v>0</v>
      </c>
    </row>
    <row r="66" ht="12.75" customHeight="1">
      <c r="A66" s="33">
        <f t="shared" si="10"/>
        <v>51</v>
      </c>
      <c r="B66" s="27"/>
      <c r="C66" s="76"/>
      <c r="D66" s="76"/>
      <c r="E66" s="34"/>
      <c r="F66" s="34"/>
      <c r="G66" s="34"/>
      <c r="H66" s="34"/>
      <c r="I66" s="34"/>
      <c r="J66" s="35" t="str">
        <f t="shared" si="5"/>
        <v/>
      </c>
      <c r="K66" s="35" t="str">
        <f t="shared" si="6"/>
        <v/>
      </c>
      <c r="L66" s="35" t="str">
        <f t="shared" si="9"/>
        <v/>
      </c>
      <c r="M66" s="31">
        <f t="shared" si="8"/>
        <v>0</v>
      </c>
    </row>
    <row r="67" ht="12.75" customHeight="1">
      <c r="A67" s="33">
        <f t="shared" si="10"/>
        <v>51</v>
      </c>
      <c r="B67" s="27"/>
      <c r="C67" s="76"/>
      <c r="D67" s="76"/>
      <c r="E67" s="34"/>
      <c r="F67" s="34"/>
      <c r="G67" s="34"/>
      <c r="H67" s="34"/>
      <c r="I67" s="34"/>
      <c r="J67" s="35" t="str">
        <f t="shared" si="5"/>
        <v/>
      </c>
      <c r="K67" s="35" t="str">
        <f t="shared" si="6"/>
        <v/>
      </c>
      <c r="L67" s="35" t="str">
        <f t="shared" si="9"/>
        <v/>
      </c>
      <c r="M67" s="31">
        <f t="shared" si="8"/>
        <v>0</v>
      </c>
    </row>
    <row r="68" ht="12.75" customHeight="1">
      <c r="A68" s="33">
        <f t="shared" si="10"/>
        <v>51</v>
      </c>
      <c r="B68" s="27"/>
      <c r="C68" s="76"/>
      <c r="D68" s="76"/>
      <c r="E68" s="34"/>
      <c r="F68" s="34"/>
      <c r="G68" s="34"/>
      <c r="H68" s="34"/>
      <c r="I68" s="34"/>
      <c r="J68" s="35" t="str">
        <f t="shared" si="5"/>
        <v/>
      </c>
      <c r="K68" s="35" t="str">
        <f t="shared" si="6"/>
        <v/>
      </c>
      <c r="L68" s="35" t="str">
        <f t="shared" si="9"/>
        <v/>
      </c>
      <c r="M68" s="31">
        <f t="shared" si="8"/>
        <v>0</v>
      </c>
    </row>
    <row r="69" ht="12.75" customHeight="1">
      <c r="A69" s="33">
        <f t="shared" si="10"/>
        <v>51</v>
      </c>
      <c r="B69" s="27"/>
      <c r="C69" s="76"/>
      <c r="D69" s="76"/>
      <c r="E69" s="34"/>
      <c r="F69" s="34"/>
      <c r="G69" s="34"/>
      <c r="H69" s="34"/>
      <c r="I69" s="34"/>
      <c r="J69" s="35" t="str">
        <f t="shared" si="5"/>
        <v/>
      </c>
      <c r="K69" s="35" t="str">
        <f t="shared" si="6"/>
        <v/>
      </c>
      <c r="L69" s="35" t="str">
        <f t="shared" si="9"/>
        <v/>
      </c>
      <c r="M69" s="31">
        <f t="shared" si="8"/>
        <v>0</v>
      </c>
    </row>
    <row r="70" ht="12.75" customHeight="1">
      <c r="A70" s="33">
        <f t="shared" si="10"/>
        <v>51</v>
      </c>
      <c r="B70" s="27"/>
      <c r="C70" s="76"/>
      <c r="D70" s="76"/>
      <c r="E70" s="34"/>
      <c r="F70" s="34"/>
      <c r="G70" s="34"/>
      <c r="H70" s="34"/>
      <c r="I70" s="34"/>
      <c r="J70" s="35" t="str">
        <f t="shared" si="5"/>
        <v/>
      </c>
      <c r="K70" s="35" t="str">
        <f t="shared" si="6"/>
        <v/>
      </c>
      <c r="L70" s="35" t="str">
        <f t="shared" si="9"/>
        <v/>
      </c>
      <c r="M70" s="31">
        <f t="shared" si="8"/>
        <v>0</v>
      </c>
    </row>
    <row r="71" ht="12.75" customHeight="1">
      <c r="A71" s="33">
        <f t="shared" si="10"/>
        <v>51</v>
      </c>
      <c r="B71" s="27"/>
      <c r="C71" s="76"/>
      <c r="D71" s="76"/>
      <c r="E71" s="34"/>
      <c r="F71" s="34"/>
      <c r="G71" s="34"/>
      <c r="H71" s="34"/>
      <c r="I71" s="34"/>
      <c r="J71" s="35" t="str">
        <f t="shared" si="5"/>
        <v/>
      </c>
      <c r="K71" s="35" t="str">
        <f t="shared" si="6"/>
        <v/>
      </c>
      <c r="L71" s="35" t="str">
        <f t="shared" si="9"/>
        <v/>
      </c>
      <c r="M71" s="31">
        <f t="shared" si="8"/>
        <v>0</v>
      </c>
    </row>
    <row r="72" ht="12.75" customHeight="1">
      <c r="A72" s="33">
        <f t="shared" si="10"/>
        <v>51</v>
      </c>
      <c r="B72" s="27"/>
      <c r="C72" s="76"/>
      <c r="D72" s="76"/>
      <c r="E72" s="34"/>
      <c r="F72" s="34"/>
      <c r="G72" s="34"/>
      <c r="H72" s="34"/>
      <c r="I72" s="34"/>
      <c r="J72" s="35" t="str">
        <f t="shared" si="5"/>
        <v/>
      </c>
      <c r="K72" s="35" t="str">
        <f t="shared" si="6"/>
        <v/>
      </c>
      <c r="L72" s="35" t="str">
        <f t="shared" si="9"/>
        <v/>
      </c>
      <c r="M72" s="31">
        <f t="shared" si="8"/>
        <v>0</v>
      </c>
    </row>
    <row r="73" ht="12.75" customHeight="1">
      <c r="A73" s="33">
        <f t="shared" si="10"/>
        <v>51</v>
      </c>
      <c r="B73" s="27"/>
      <c r="C73" s="76"/>
      <c r="D73" s="76"/>
      <c r="E73" s="34"/>
      <c r="F73" s="34"/>
      <c r="G73" s="34"/>
      <c r="H73" s="34"/>
      <c r="I73" s="34"/>
      <c r="J73" s="35" t="str">
        <f t="shared" si="5"/>
        <v/>
      </c>
      <c r="K73" s="35" t="str">
        <f t="shared" si="6"/>
        <v/>
      </c>
      <c r="L73" s="35" t="str">
        <f t="shared" si="9"/>
        <v/>
      </c>
      <c r="M73" s="31">
        <f t="shared" si="8"/>
        <v>0</v>
      </c>
    </row>
    <row r="74" ht="12.75" customHeight="1">
      <c r="A74" s="33">
        <f t="shared" si="10"/>
        <v>51</v>
      </c>
      <c r="B74" s="27"/>
      <c r="C74" s="76"/>
      <c r="D74" s="76"/>
      <c r="E74" s="34"/>
      <c r="F74" s="34"/>
      <c r="G74" s="34"/>
      <c r="H74" s="34"/>
      <c r="I74" s="34"/>
      <c r="J74" s="35" t="str">
        <f t="shared" si="5"/>
        <v/>
      </c>
      <c r="K74" s="35" t="str">
        <f t="shared" si="6"/>
        <v/>
      </c>
      <c r="L74" s="35" t="str">
        <f t="shared" si="9"/>
        <v/>
      </c>
      <c r="M74" s="31">
        <f t="shared" si="8"/>
        <v>0</v>
      </c>
    </row>
    <row r="75" ht="12.75" customHeight="1">
      <c r="A75" s="33">
        <f t="shared" si="10"/>
        <v>51</v>
      </c>
      <c r="B75" s="27"/>
      <c r="C75" s="76"/>
      <c r="D75" s="76"/>
      <c r="E75" s="34"/>
      <c r="F75" s="34"/>
      <c r="G75" s="34"/>
      <c r="H75" s="34"/>
      <c r="I75" s="34"/>
      <c r="J75" s="35" t="str">
        <f t="shared" si="5"/>
        <v/>
      </c>
      <c r="K75" s="35" t="str">
        <f t="shared" si="6"/>
        <v/>
      </c>
      <c r="L75" s="35" t="str">
        <f t="shared" si="9"/>
        <v/>
      </c>
      <c r="M75" s="31">
        <f t="shared" si="8"/>
        <v>0</v>
      </c>
    </row>
    <row r="76" ht="12.75" customHeight="1">
      <c r="A76" s="33">
        <f t="shared" si="10"/>
        <v>51</v>
      </c>
      <c r="B76" s="27"/>
      <c r="C76" s="76"/>
      <c r="D76" s="76"/>
      <c r="E76" s="34"/>
      <c r="F76" s="34"/>
      <c r="G76" s="34"/>
      <c r="H76" s="34"/>
      <c r="I76" s="34"/>
      <c r="J76" s="35" t="str">
        <f t="shared" si="5"/>
        <v/>
      </c>
      <c r="K76" s="35" t="str">
        <f t="shared" si="6"/>
        <v/>
      </c>
      <c r="L76" s="35" t="str">
        <f t="shared" si="9"/>
        <v/>
      </c>
      <c r="M76" s="31">
        <f t="shared" si="8"/>
        <v>0</v>
      </c>
    </row>
    <row r="77" ht="12.75" customHeight="1">
      <c r="A77" s="33">
        <f t="shared" si="10"/>
        <v>51</v>
      </c>
      <c r="B77" s="27"/>
      <c r="C77" s="76"/>
      <c r="D77" s="76"/>
      <c r="E77" s="34"/>
      <c r="F77" s="34"/>
      <c r="G77" s="34"/>
      <c r="H77" s="34"/>
      <c r="I77" s="34"/>
      <c r="J77" s="35" t="str">
        <f t="shared" si="5"/>
        <v/>
      </c>
      <c r="K77" s="35" t="str">
        <f t="shared" si="6"/>
        <v/>
      </c>
      <c r="L77" s="35" t="str">
        <f t="shared" si="9"/>
        <v/>
      </c>
      <c r="M77" s="31">
        <f t="shared" si="8"/>
        <v>0</v>
      </c>
    </row>
    <row r="78" ht="12.75" customHeight="1">
      <c r="A78" s="33">
        <f t="shared" si="10"/>
        <v>51</v>
      </c>
      <c r="B78" s="27"/>
      <c r="C78" s="76"/>
      <c r="D78" s="76"/>
      <c r="E78" s="34"/>
      <c r="F78" s="34"/>
      <c r="G78" s="34"/>
      <c r="H78" s="34"/>
      <c r="I78" s="34"/>
      <c r="J78" s="35" t="str">
        <f t="shared" si="5"/>
        <v/>
      </c>
      <c r="K78" s="35" t="str">
        <f t="shared" si="6"/>
        <v/>
      </c>
      <c r="L78" s="35" t="str">
        <f t="shared" si="9"/>
        <v/>
      </c>
      <c r="M78" s="31">
        <f t="shared" si="8"/>
        <v>0</v>
      </c>
    </row>
    <row r="79" ht="12.75" customHeight="1">
      <c r="A79" s="33">
        <f t="shared" si="10"/>
        <v>51</v>
      </c>
      <c r="B79" s="27"/>
      <c r="C79" s="76"/>
      <c r="D79" s="76"/>
      <c r="E79" s="34"/>
      <c r="F79" s="34"/>
      <c r="G79" s="34"/>
      <c r="H79" s="34"/>
      <c r="I79" s="34"/>
      <c r="J79" s="35" t="str">
        <f t="shared" si="5"/>
        <v/>
      </c>
      <c r="K79" s="35" t="str">
        <f t="shared" si="6"/>
        <v/>
      </c>
      <c r="L79" s="35" t="str">
        <f t="shared" si="9"/>
        <v/>
      </c>
      <c r="M79" s="31">
        <f t="shared" si="8"/>
        <v>0</v>
      </c>
    </row>
    <row r="80" ht="12.75" customHeight="1">
      <c r="A80" s="33">
        <f t="shared" si="10"/>
        <v>51</v>
      </c>
      <c r="B80" s="27"/>
      <c r="C80" s="76"/>
      <c r="D80" s="76"/>
      <c r="E80" s="34"/>
      <c r="F80" s="34"/>
      <c r="G80" s="34"/>
      <c r="H80" s="34"/>
      <c r="I80" s="34"/>
      <c r="J80" s="35" t="str">
        <f t="shared" si="5"/>
        <v/>
      </c>
      <c r="K80" s="35" t="str">
        <f t="shared" si="6"/>
        <v/>
      </c>
      <c r="L80" s="35" t="str">
        <f t="shared" si="9"/>
        <v/>
      </c>
      <c r="M80" s="31">
        <f t="shared" si="8"/>
        <v>0</v>
      </c>
    </row>
    <row r="81" ht="12.75" customHeight="1">
      <c r="A81" s="33">
        <f t="shared" si="10"/>
        <v>51</v>
      </c>
      <c r="B81" s="27"/>
      <c r="C81" s="76"/>
      <c r="D81" s="76"/>
      <c r="E81" s="34"/>
      <c r="F81" s="34"/>
      <c r="G81" s="34"/>
      <c r="H81" s="34"/>
      <c r="I81" s="34"/>
      <c r="J81" s="35" t="str">
        <f t="shared" si="5"/>
        <v/>
      </c>
      <c r="K81" s="35" t="str">
        <f t="shared" si="6"/>
        <v/>
      </c>
      <c r="L81" s="35" t="str">
        <f t="shared" si="9"/>
        <v/>
      </c>
      <c r="M81" s="31">
        <f t="shared" si="8"/>
        <v>0</v>
      </c>
    </row>
    <row r="82" ht="12.75" customHeight="1">
      <c r="A82" s="33">
        <f t="shared" si="10"/>
        <v>51</v>
      </c>
      <c r="B82" s="27"/>
      <c r="C82" s="76"/>
      <c r="D82" s="76"/>
      <c r="E82" s="34"/>
      <c r="F82" s="34"/>
      <c r="G82" s="34"/>
      <c r="H82" s="34"/>
      <c r="I82" s="34"/>
      <c r="J82" s="35" t="str">
        <f t="shared" si="5"/>
        <v/>
      </c>
      <c r="K82" s="35" t="str">
        <f t="shared" si="6"/>
        <v/>
      </c>
      <c r="L82" s="35" t="str">
        <f t="shared" si="9"/>
        <v/>
      </c>
      <c r="M82" s="31">
        <f t="shared" si="8"/>
        <v>0</v>
      </c>
    </row>
    <row r="83" ht="12.75" customHeight="1">
      <c r="A83" s="33">
        <f t="shared" si="10"/>
        <v>51</v>
      </c>
      <c r="B83" s="27"/>
      <c r="C83" s="76"/>
      <c r="D83" s="76"/>
      <c r="E83" s="34"/>
      <c r="F83" s="34"/>
      <c r="G83" s="34"/>
      <c r="H83" s="34"/>
      <c r="I83" s="34"/>
      <c r="J83" s="35" t="str">
        <f t="shared" si="5"/>
        <v/>
      </c>
      <c r="K83" s="35" t="str">
        <f t="shared" si="6"/>
        <v/>
      </c>
      <c r="L83" s="35" t="str">
        <f t="shared" si="9"/>
        <v/>
      </c>
      <c r="M83" s="31">
        <f t="shared" si="8"/>
        <v>0</v>
      </c>
    </row>
    <row r="84" ht="12.75" customHeight="1">
      <c r="A84" s="33">
        <f t="shared" si="10"/>
        <v>51</v>
      </c>
      <c r="B84" s="27"/>
      <c r="C84" s="76"/>
      <c r="D84" s="76"/>
      <c r="E84" s="34"/>
      <c r="F84" s="34"/>
      <c r="G84" s="34"/>
      <c r="H84" s="34"/>
      <c r="I84" s="34"/>
      <c r="J84" s="35" t="str">
        <f t="shared" si="5"/>
        <v/>
      </c>
      <c r="K84" s="35" t="str">
        <f t="shared" si="6"/>
        <v/>
      </c>
      <c r="L84" s="35" t="str">
        <f t="shared" si="9"/>
        <v/>
      </c>
      <c r="M84" s="31">
        <f t="shared" si="8"/>
        <v>0</v>
      </c>
    </row>
    <row r="85" ht="12.75" customHeight="1">
      <c r="A85" s="33">
        <f t="shared" si="10"/>
        <v>51</v>
      </c>
      <c r="B85" s="27"/>
      <c r="C85" s="76"/>
      <c r="D85" s="76"/>
      <c r="E85" s="34"/>
      <c r="F85" s="34"/>
      <c r="G85" s="34"/>
      <c r="H85" s="34"/>
      <c r="I85" s="34"/>
      <c r="J85" s="35" t="str">
        <f t="shared" si="5"/>
        <v/>
      </c>
      <c r="K85" s="35" t="str">
        <f t="shared" si="6"/>
        <v/>
      </c>
      <c r="L85" s="35" t="str">
        <f t="shared" si="9"/>
        <v/>
      </c>
      <c r="M85" s="31">
        <f t="shared" si="8"/>
        <v>0</v>
      </c>
    </row>
    <row r="86" ht="12.75" customHeight="1">
      <c r="A86" s="33">
        <f t="shared" si="10"/>
        <v>51</v>
      </c>
      <c r="B86" s="27" t="s">
        <v>125</v>
      </c>
      <c r="C86" s="76"/>
      <c r="D86" s="76"/>
      <c r="E86" s="34">
        <v>36.15</v>
      </c>
      <c r="F86" s="34">
        <v>31.64</v>
      </c>
      <c r="G86" s="34">
        <v>26.21</v>
      </c>
      <c r="H86" s="34">
        <v>29.92</v>
      </c>
      <c r="I86" s="34">
        <v>24.43</v>
      </c>
      <c r="J86" s="35">
        <f t="shared" si="5"/>
        <v>24.43</v>
      </c>
      <c r="K86" s="35">
        <f t="shared" si="6"/>
        <v>36.15</v>
      </c>
      <c r="L86" s="35">
        <f t="shared" si="9"/>
        <v>29.26</v>
      </c>
      <c r="M86" s="31">
        <f t="shared" si="8"/>
        <v>0.0003386574074</v>
      </c>
    </row>
    <row r="87" ht="12.75" customHeight="1">
      <c r="A87" s="33">
        <f t="shared" si="10"/>
        <v>83</v>
      </c>
      <c r="B87" s="27" t="s">
        <v>125</v>
      </c>
      <c r="C87" s="76"/>
      <c r="D87" s="76"/>
      <c r="E87" s="34">
        <v>36.15</v>
      </c>
      <c r="F87" s="34">
        <v>31.64</v>
      </c>
      <c r="G87" s="34">
        <v>26.21</v>
      </c>
      <c r="H87" s="34">
        <v>29.92</v>
      </c>
      <c r="I87" s="34">
        <v>24.43</v>
      </c>
      <c r="J87" s="35">
        <f t="shared" si="5"/>
        <v>24.43</v>
      </c>
      <c r="K87" s="35">
        <f t="shared" si="6"/>
        <v>36.15</v>
      </c>
      <c r="L87" s="35">
        <f t="shared" si="9"/>
        <v>29.26</v>
      </c>
      <c r="M87" s="31">
        <f t="shared" si="8"/>
        <v>0.0003386574074</v>
      </c>
    </row>
    <row r="88" ht="12.75" customHeight="1">
      <c r="A88" s="33">
        <f t="shared" si="10"/>
        <v>83</v>
      </c>
      <c r="B88" s="27" t="s">
        <v>125</v>
      </c>
      <c r="C88" s="76"/>
      <c r="D88" s="76"/>
      <c r="E88" s="34">
        <v>36.15</v>
      </c>
      <c r="F88" s="34">
        <v>31.64</v>
      </c>
      <c r="G88" s="34">
        <v>26.21</v>
      </c>
      <c r="H88" s="34">
        <v>29.92</v>
      </c>
      <c r="I88" s="34">
        <v>24.43</v>
      </c>
      <c r="J88" s="35">
        <f t="shared" si="5"/>
        <v>24.43</v>
      </c>
      <c r="K88" s="35">
        <f t="shared" si="6"/>
        <v>36.15</v>
      </c>
      <c r="L88" s="35">
        <f t="shared" si="9"/>
        <v>29.26</v>
      </c>
      <c r="M88" s="31">
        <f t="shared" si="8"/>
        <v>0.0003386574074</v>
      </c>
    </row>
    <row r="89" ht="12.75" customHeight="1">
      <c r="A89" s="33">
        <f t="shared" si="10"/>
        <v>83</v>
      </c>
      <c r="B89" s="27" t="s">
        <v>125</v>
      </c>
      <c r="C89" s="76"/>
      <c r="D89" s="76"/>
      <c r="E89" s="34">
        <v>36.15</v>
      </c>
      <c r="F89" s="34">
        <v>31.64</v>
      </c>
      <c r="G89" s="34">
        <v>26.21</v>
      </c>
      <c r="H89" s="34">
        <v>29.92</v>
      </c>
      <c r="I89" s="34">
        <v>24.43</v>
      </c>
      <c r="J89" s="35">
        <f t="shared" si="5"/>
        <v>24.43</v>
      </c>
      <c r="K89" s="35">
        <f t="shared" si="6"/>
        <v>36.15</v>
      </c>
      <c r="L89" s="35">
        <f t="shared" si="9"/>
        <v>29.26</v>
      </c>
      <c r="M89" s="31">
        <f t="shared" si="8"/>
        <v>0.0003386574074</v>
      </c>
    </row>
    <row r="90" ht="12.75" customHeight="1">
      <c r="A90" s="33">
        <f t="shared" si="10"/>
        <v>83</v>
      </c>
      <c r="B90" s="27" t="s">
        <v>125</v>
      </c>
      <c r="C90" s="76"/>
      <c r="D90" s="76"/>
      <c r="E90" s="34">
        <v>36.15</v>
      </c>
      <c r="F90" s="34">
        <v>31.64</v>
      </c>
      <c r="G90" s="34">
        <v>26.21</v>
      </c>
      <c r="H90" s="34">
        <v>29.92</v>
      </c>
      <c r="I90" s="34">
        <v>24.43</v>
      </c>
      <c r="J90" s="35">
        <f t="shared" si="5"/>
        <v>24.43</v>
      </c>
      <c r="K90" s="35">
        <f t="shared" si="6"/>
        <v>36.15</v>
      </c>
      <c r="L90" s="35">
        <f t="shared" si="9"/>
        <v>29.26</v>
      </c>
      <c r="M90" s="31">
        <f t="shared" si="8"/>
        <v>0.0003386574074</v>
      </c>
    </row>
    <row r="91" ht="12.75" customHeight="1">
      <c r="A91" s="33">
        <f t="shared" si="10"/>
        <v>83</v>
      </c>
      <c r="B91" s="27" t="s">
        <v>125</v>
      </c>
      <c r="C91" s="76"/>
      <c r="D91" s="76"/>
      <c r="E91" s="34">
        <v>36.15</v>
      </c>
      <c r="F91" s="34">
        <v>31.64</v>
      </c>
      <c r="G91" s="34">
        <v>26.21</v>
      </c>
      <c r="H91" s="34">
        <v>29.92</v>
      </c>
      <c r="I91" s="34">
        <v>24.43</v>
      </c>
      <c r="J91" s="35">
        <f t="shared" si="5"/>
        <v>24.43</v>
      </c>
      <c r="K91" s="35">
        <f t="shared" si="6"/>
        <v>36.15</v>
      </c>
      <c r="L91" s="35">
        <f t="shared" si="9"/>
        <v>29.26</v>
      </c>
      <c r="M91" s="31">
        <f t="shared" si="8"/>
        <v>0.0003386574074</v>
      </c>
    </row>
    <row r="92" ht="12.75" customHeight="1">
      <c r="A92" s="33">
        <f t="shared" si="10"/>
        <v>83</v>
      </c>
      <c r="B92" s="27" t="s">
        <v>125</v>
      </c>
      <c r="C92" s="76"/>
      <c r="D92" s="76"/>
      <c r="E92" s="34">
        <v>36.15</v>
      </c>
      <c r="F92" s="34">
        <v>31.64</v>
      </c>
      <c r="G92" s="34">
        <v>26.21</v>
      </c>
      <c r="H92" s="34">
        <v>29.92</v>
      </c>
      <c r="I92" s="34">
        <v>24.43</v>
      </c>
      <c r="J92" s="35">
        <f t="shared" si="5"/>
        <v>24.43</v>
      </c>
      <c r="K92" s="35">
        <f t="shared" si="6"/>
        <v>36.15</v>
      </c>
      <c r="L92" s="35">
        <f t="shared" si="9"/>
        <v>29.26</v>
      </c>
      <c r="M92" s="31">
        <f t="shared" si="8"/>
        <v>0.0003386574074</v>
      </c>
    </row>
    <row r="93" ht="12.75" customHeight="1">
      <c r="A93" s="33">
        <f t="shared" si="10"/>
        <v>83</v>
      </c>
      <c r="B93" s="27" t="s">
        <v>125</v>
      </c>
      <c r="C93" s="76"/>
      <c r="D93" s="76"/>
      <c r="E93" s="34">
        <v>36.15</v>
      </c>
      <c r="F93" s="34">
        <v>31.64</v>
      </c>
      <c r="G93" s="34">
        <v>26.21</v>
      </c>
      <c r="H93" s="34">
        <v>29.92</v>
      </c>
      <c r="I93" s="34">
        <v>24.43</v>
      </c>
      <c r="J93" s="35">
        <f t="shared" si="5"/>
        <v>24.43</v>
      </c>
      <c r="K93" s="35">
        <f t="shared" si="6"/>
        <v>36.15</v>
      </c>
      <c r="L93" s="35">
        <f t="shared" si="9"/>
        <v>29.26</v>
      </c>
      <c r="M93" s="31">
        <f t="shared" si="8"/>
        <v>0.0003386574074</v>
      </c>
    </row>
    <row r="94" ht="12.75" customHeight="1">
      <c r="A94" s="33">
        <f t="shared" si="10"/>
        <v>83</v>
      </c>
      <c r="B94" s="27" t="s">
        <v>125</v>
      </c>
      <c r="C94" s="76"/>
      <c r="D94" s="76"/>
      <c r="E94" s="34">
        <v>36.15</v>
      </c>
      <c r="F94" s="34">
        <v>31.64</v>
      </c>
      <c r="G94" s="34">
        <v>26.21</v>
      </c>
      <c r="H94" s="34">
        <v>29.92</v>
      </c>
      <c r="I94" s="34">
        <v>24.43</v>
      </c>
      <c r="J94" s="35">
        <f t="shared" si="5"/>
        <v>24.43</v>
      </c>
      <c r="K94" s="35">
        <f t="shared" si="6"/>
        <v>36.15</v>
      </c>
      <c r="L94" s="35">
        <f t="shared" si="9"/>
        <v>29.26</v>
      </c>
      <c r="M94" s="31">
        <f t="shared" si="8"/>
        <v>0.0003386574074</v>
      </c>
    </row>
    <row r="95" ht="12.75" customHeight="1">
      <c r="A95" s="33">
        <f t="shared" si="10"/>
        <v>83</v>
      </c>
      <c r="B95" s="27" t="s">
        <v>125</v>
      </c>
      <c r="C95" s="76"/>
      <c r="D95" s="76"/>
      <c r="E95" s="34">
        <v>36.15</v>
      </c>
      <c r="F95" s="34">
        <v>31.64</v>
      </c>
      <c r="G95" s="34">
        <v>26.21</v>
      </c>
      <c r="H95" s="34">
        <v>29.92</v>
      </c>
      <c r="I95" s="34">
        <v>24.43</v>
      </c>
      <c r="J95" s="35">
        <f t="shared" si="5"/>
        <v>24.43</v>
      </c>
      <c r="K95" s="35">
        <f t="shared" si="6"/>
        <v>36.15</v>
      </c>
      <c r="L95" s="35">
        <f t="shared" si="9"/>
        <v>29.26</v>
      </c>
      <c r="M95" s="31">
        <f t="shared" si="8"/>
        <v>0.0003386574074</v>
      </c>
    </row>
    <row r="96" ht="12.75" customHeight="1">
      <c r="A96" s="33">
        <f t="shared" si="10"/>
        <v>83</v>
      </c>
      <c r="B96" s="27" t="s">
        <v>125</v>
      </c>
      <c r="C96" s="76"/>
      <c r="D96" s="76"/>
      <c r="E96" s="34">
        <v>36.15</v>
      </c>
      <c r="F96" s="34">
        <v>31.64</v>
      </c>
      <c r="G96" s="34">
        <v>26.21</v>
      </c>
      <c r="H96" s="34">
        <v>29.92</v>
      </c>
      <c r="I96" s="34">
        <v>24.43</v>
      </c>
      <c r="J96" s="35">
        <f t="shared" si="5"/>
        <v>24.43</v>
      </c>
      <c r="K96" s="35">
        <f t="shared" si="6"/>
        <v>36.15</v>
      </c>
      <c r="L96" s="35">
        <f t="shared" si="9"/>
        <v>29.26</v>
      </c>
      <c r="M96" s="31">
        <f t="shared" si="8"/>
        <v>0.0003386574074</v>
      </c>
    </row>
    <row r="97" ht="12.75" customHeight="1">
      <c r="A97" s="33">
        <f t="shared" si="10"/>
        <v>83</v>
      </c>
      <c r="B97" s="27" t="s">
        <v>125</v>
      </c>
      <c r="C97" s="76"/>
      <c r="D97" s="76"/>
      <c r="E97" s="34">
        <v>36.15</v>
      </c>
      <c r="F97" s="34">
        <v>31.64</v>
      </c>
      <c r="G97" s="34">
        <v>26.21</v>
      </c>
      <c r="H97" s="34">
        <v>29.92</v>
      </c>
      <c r="I97" s="34">
        <v>24.43</v>
      </c>
      <c r="J97" s="35">
        <f t="shared" si="5"/>
        <v>24.43</v>
      </c>
      <c r="K97" s="35">
        <f t="shared" si="6"/>
        <v>36.15</v>
      </c>
      <c r="L97" s="35">
        <f t="shared" si="9"/>
        <v>29.26</v>
      </c>
      <c r="M97" s="31">
        <f t="shared" si="8"/>
        <v>0.0003386574074</v>
      </c>
    </row>
    <row r="98" ht="12.75" customHeight="1">
      <c r="A98" s="33">
        <f t="shared" si="10"/>
        <v>83</v>
      </c>
      <c r="B98" s="27" t="s">
        <v>125</v>
      </c>
      <c r="C98" s="76"/>
      <c r="D98" s="76"/>
      <c r="E98" s="34">
        <v>36.15</v>
      </c>
      <c r="F98" s="34">
        <v>31.64</v>
      </c>
      <c r="G98" s="34">
        <v>26.21</v>
      </c>
      <c r="H98" s="34">
        <v>29.92</v>
      </c>
      <c r="I98" s="34">
        <v>24.43</v>
      </c>
      <c r="J98" s="35">
        <f t="shared" si="5"/>
        <v>24.43</v>
      </c>
      <c r="K98" s="35">
        <f t="shared" si="6"/>
        <v>36.15</v>
      </c>
      <c r="L98" s="35">
        <f t="shared" si="9"/>
        <v>29.26</v>
      </c>
      <c r="M98" s="31">
        <f t="shared" si="8"/>
        <v>0.0003386574074</v>
      </c>
    </row>
    <row r="99" ht="12.75" customHeight="1">
      <c r="A99" s="64"/>
    </row>
    <row r="100" ht="12.75" customHeight="1">
      <c r="A100" s="64"/>
    </row>
    <row r="101" ht="12.75" customHeight="1">
      <c r="A101" s="64"/>
    </row>
    <row r="102" ht="12.75" customHeight="1">
      <c r="A102" s="64"/>
    </row>
    <row r="103" ht="12.75" customHeight="1">
      <c r="A103" s="64"/>
    </row>
    <row r="104" ht="12.75" customHeight="1">
      <c r="A104" s="64"/>
    </row>
    <row r="105" ht="12.75" customHeight="1">
      <c r="A105" s="64"/>
    </row>
    <row r="106" ht="12.75" customHeight="1">
      <c r="A106" s="64"/>
    </row>
    <row r="107" ht="12.75" customHeight="1">
      <c r="A107" s="64"/>
    </row>
    <row r="108" ht="12.75" customHeight="1">
      <c r="A108" s="64"/>
    </row>
    <row r="109" ht="12.75" customHeight="1">
      <c r="A109" s="64"/>
    </row>
    <row r="110" ht="12.75" customHeight="1">
      <c r="A110" s="64"/>
    </row>
    <row r="111" ht="12.75" customHeight="1">
      <c r="A111" s="64"/>
    </row>
    <row r="112" ht="12.75" customHeight="1">
      <c r="A112" s="64"/>
    </row>
    <row r="113" ht="12.75" customHeight="1">
      <c r="A113" s="64"/>
    </row>
    <row r="114" ht="12.75" customHeight="1">
      <c r="A114" s="64"/>
    </row>
    <row r="115" ht="12.75" customHeight="1">
      <c r="A115" s="64"/>
    </row>
    <row r="116" ht="12.75" customHeight="1">
      <c r="A116" s="64"/>
    </row>
    <row r="117" ht="12.75" customHeight="1">
      <c r="A117" s="64"/>
    </row>
    <row r="118" ht="12.75" customHeight="1">
      <c r="A118" s="64"/>
    </row>
    <row r="119" ht="12.75" customHeight="1">
      <c r="A119" s="64"/>
    </row>
    <row r="120" ht="12.75" customHeight="1">
      <c r="A120" s="64"/>
    </row>
    <row r="121" ht="12.75" customHeight="1">
      <c r="A121" s="64"/>
    </row>
    <row r="122" ht="12.75" customHeight="1">
      <c r="A122" s="64"/>
    </row>
    <row r="123" ht="12.75" customHeight="1">
      <c r="A123" s="64"/>
    </row>
    <row r="124" ht="12.75" customHeight="1">
      <c r="A124" s="64"/>
    </row>
    <row r="125" ht="12.75" customHeight="1">
      <c r="A125" s="64"/>
    </row>
    <row r="126" ht="12.75" customHeight="1">
      <c r="A126" s="64"/>
    </row>
    <row r="127" ht="12.75" customHeight="1">
      <c r="A127" s="64"/>
    </row>
    <row r="128" ht="12.75" customHeight="1">
      <c r="A128" s="64"/>
    </row>
    <row r="129" ht="12.75" customHeight="1">
      <c r="A129" s="64"/>
    </row>
    <row r="130" ht="12.75" customHeight="1">
      <c r="A130" s="64"/>
    </row>
    <row r="131" ht="12.75" customHeight="1">
      <c r="A131" s="64"/>
    </row>
    <row r="132" ht="12.75" customHeight="1">
      <c r="A132" s="64"/>
    </row>
    <row r="133" ht="12.75" customHeight="1">
      <c r="A133" s="64"/>
    </row>
    <row r="134" ht="12.75" customHeight="1">
      <c r="A134" s="64"/>
    </row>
    <row r="135" ht="12.75" customHeight="1">
      <c r="A135" s="64"/>
    </row>
    <row r="136" ht="12.75" customHeight="1">
      <c r="A136" s="64"/>
    </row>
    <row r="137" ht="12.75" customHeight="1">
      <c r="A137" s="64"/>
    </row>
    <row r="138" ht="12.75" customHeight="1">
      <c r="A138" s="64"/>
    </row>
    <row r="139" ht="12.75" customHeight="1">
      <c r="A139" s="64"/>
    </row>
    <row r="140" ht="12.75" customHeight="1">
      <c r="A140" s="64"/>
    </row>
    <row r="141" ht="12.75" customHeight="1">
      <c r="A141" s="64"/>
    </row>
    <row r="142" ht="12.75" customHeight="1">
      <c r="A142" s="64"/>
    </row>
    <row r="143" ht="12.75" customHeight="1">
      <c r="A143" s="64"/>
    </row>
    <row r="144" ht="12.75" customHeight="1">
      <c r="A144" s="64"/>
    </row>
    <row r="145" ht="12.75" customHeight="1">
      <c r="A145" s="64"/>
    </row>
    <row r="146" ht="12.75" customHeight="1">
      <c r="A146" s="64"/>
    </row>
    <row r="147" ht="12.75" customHeight="1">
      <c r="A147" s="64"/>
    </row>
    <row r="148" ht="12.75" customHeight="1">
      <c r="A148" s="64"/>
    </row>
    <row r="149" ht="12.75" customHeight="1">
      <c r="A149" s="64"/>
    </row>
    <row r="150" ht="12.75" customHeight="1">
      <c r="A150" s="64"/>
    </row>
    <row r="151" ht="12.75" customHeight="1">
      <c r="A151" s="64"/>
    </row>
    <row r="152" ht="12.75" customHeight="1">
      <c r="A152" s="64"/>
    </row>
    <row r="153" ht="12.75" customHeight="1">
      <c r="A153" s="64"/>
    </row>
    <row r="154" ht="12.75" customHeight="1">
      <c r="A154" s="64"/>
    </row>
    <row r="155" ht="12.75" customHeight="1">
      <c r="A155" s="64"/>
    </row>
    <row r="156" ht="12.75" customHeight="1">
      <c r="A156" s="64"/>
    </row>
    <row r="157" ht="12.75" customHeight="1">
      <c r="A157" s="64"/>
    </row>
    <row r="158" ht="12.75" customHeight="1">
      <c r="A158" s="64"/>
    </row>
    <row r="159" ht="12.75" customHeight="1">
      <c r="A159" s="64"/>
    </row>
    <row r="160" ht="12.75" customHeight="1">
      <c r="A160" s="64"/>
    </row>
    <row r="161" ht="12.75" customHeight="1">
      <c r="A161" s="64"/>
    </row>
    <row r="162" ht="12.75" customHeight="1">
      <c r="A162" s="64"/>
    </row>
    <row r="163" ht="12.75" customHeight="1">
      <c r="A163" s="64"/>
    </row>
    <row r="164" ht="12.75" customHeight="1">
      <c r="A164" s="64"/>
    </row>
    <row r="165" ht="12.75" customHeight="1">
      <c r="A165" s="64"/>
    </row>
    <row r="166" ht="12.75" customHeight="1">
      <c r="A166" s="64"/>
    </row>
    <row r="167" ht="12.75" customHeight="1">
      <c r="A167" s="64"/>
    </row>
    <row r="168" ht="12.75" customHeight="1">
      <c r="A168" s="64"/>
    </row>
    <row r="169" ht="12.75" customHeight="1">
      <c r="A169" s="64"/>
    </row>
    <row r="170" ht="12.75" customHeight="1">
      <c r="A170" s="64"/>
    </row>
    <row r="171" ht="12.75" customHeight="1">
      <c r="A171" s="64"/>
    </row>
    <row r="172" ht="12.75" customHeight="1">
      <c r="A172" s="64"/>
    </row>
    <row r="173" ht="12.75" customHeight="1">
      <c r="A173" s="64"/>
    </row>
    <row r="174" ht="12.75" customHeight="1">
      <c r="A174" s="64"/>
    </row>
    <row r="175" ht="12.75" customHeight="1">
      <c r="A175" s="64"/>
    </row>
    <row r="176" ht="12.75" customHeight="1">
      <c r="A176" s="64"/>
    </row>
    <row r="177" ht="12.75" customHeight="1">
      <c r="A177" s="64"/>
    </row>
    <row r="178" ht="12.75" customHeight="1">
      <c r="A178" s="64"/>
    </row>
    <row r="179" ht="12.75" customHeight="1">
      <c r="A179" s="64"/>
    </row>
    <row r="180" ht="12.75" customHeight="1">
      <c r="A180" s="64"/>
    </row>
    <row r="181" ht="12.75" customHeight="1">
      <c r="A181" s="64"/>
    </row>
    <row r="182" ht="12.75" customHeight="1">
      <c r="A182" s="64"/>
    </row>
    <row r="183" ht="12.75" customHeight="1">
      <c r="A183" s="64"/>
    </row>
    <row r="184" ht="12.75" customHeight="1">
      <c r="A184" s="64"/>
    </row>
    <row r="185" ht="12.75" customHeight="1">
      <c r="A185" s="64"/>
    </row>
    <row r="186" ht="12.75" customHeight="1">
      <c r="A186" s="64"/>
    </row>
    <row r="187" ht="12.75" customHeight="1">
      <c r="A187" s="64"/>
    </row>
    <row r="188" ht="12.75" customHeight="1">
      <c r="A188" s="64"/>
    </row>
    <row r="189" ht="12.75" customHeight="1">
      <c r="A189" s="64"/>
    </row>
    <row r="190" ht="12.75" customHeight="1">
      <c r="A190" s="64"/>
    </row>
    <row r="191" ht="12.75" customHeight="1">
      <c r="A191" s="64"/>
    </row>
    <row r="192" ht="12.75" customHeight="1">
      <c r="A192" s="64"/>
    </row>
    <row r="193" ht="12.75" customHeight="1">
      <c r="A193" s="64"/>
    </row>
    <row r="194" ht="12.75" customHeight="1">
      <c r="A194" s="64"/>
    </row>
    <row r="195" ht="12.75" customHeight="1">
      <c r="A195" s="64"/>
    </row>
    <row r="196" ht="12.75" customHeight="1">
      <c r="A196" s="64"/>
    </row>
    <row r="197" ht="12.75" customHeight="1">
      <c r="A197" s="64"/>
    </row>
    <row r="198" ht="12.75" customHeight="1">
      <c r="A198" s="64"/>
    </row>
    <row r="199" ht="12.75" customHeight="1">
      <c r="A199" s="64"/>
    </row>
    <row r="200" ht="12.75" customHeight="1">
      <c r="A200" s="64"/>
    </row>
    <row r="201" ht="12.75" customHeight="1">
      <c r="A201" s="64"/>
    </row>
    <row r="202" ht="12.75" customHeight="1">
      <c r="A202" s="64"/>
    </row>
    <row r="203" ht="12.75" customHeight="1">
      <c r="A203" s="64"/>
    </row>
    <row r="204" ht="12.75" customHeight="1">
      <c r="A204" s="64"/>
    </row>
    <row r="205" ht="12.75" customHeight="1">
      <c r="A205" s="64"/>
    </row>
    <row r="206" ht="12.75" customHeight="1">
      <c r="A206" s="64"/>
    </row>
    <row r="207" ht="12.75" customHeight="1">
      <c r="A207" s="64"/>
    </row>
    <row r="208" ht="12.75" customHeight="1">
      <c r="A208" s="64"/>
    </row>
    <row r="209" ht="12.75" customHeight="1">
      <c r="A209" s="64"/>
    </row>
    <row r="210" ht="12.75" customHeight="1">
      <c r="A210" s="64"/>
    </row>
    <row r="211" ht="12.75" customHeight="1">
      <c r="A211" s="64"/>
    </row>
    <row r="212" ht="12.75" customHeight="1">
      <c r="A212" s="64"/>
    </row>
    <row r="213" ht="12.75" customHeight="1">
      <c r="A213" s="64"/>
    </row>
    <row r="214" ht="12.75" customHeight="1">
      <c r="A214" s="64"/>
    </row>
    <row r="215" ht="12.75" customHeight="1">
      <c r="A215" s="64"/>
    </row>
    <row r="216" ht="12.75" customHeight="1">
      <c r="A216" s="64"/>
    </row>
    <row r="217" ht="12.75" customHeight="1">
      <c r="A217" s="64"/>
    </row>
    <row r="218" ht="12.75" customHeight="1">
      <c r="A218" s="64"/>
    </row>
    <row r="219" ht="12.75" customHeight="1">
      <c r="A219" s="64"/>
    </row>
    <row r="220" ht="12.75" customHeight="1">
      <c r="A220" s="64"/>
    </row>
    <row r="221" ht="12.75" customHeight="1">
      <c r="A221" s="64"/>
    </row>
    <row r="222" ht="12.75" customHeight="1">
      <c r="A222" s="64"/>
    </row>
    <row r="223" ht="12.75" customHeight="1">
      <c r="A223" s="64"/>
    </row>
    <row r="224" ht="12.75" customHeight="1">
      <c r="A224" s="64"/>
    </row>
    <row r="225" ht="12.75" customHeight="1">
      <c r="A225" s="64"/>
    </row>
    <row r="226" ht="12.75" customHeight="1">
      <c r="A226" s="64"/>
    </row>
    <row r="227" ht="12.75" customHeight="1">
      <c r="A227" s="64"/>
    </row>
    <row r="228" ht="12.75" customHeight="1">
      <c r="A228" s="64"/>
    </row>
    <row r="229" ht="12.75" customHeight="1">
      <c r="A229" s="64"/>
    </row>
    <row r="230" ht="12.75" customHeight="1">
      <c r="A230" s="64"/>
    </row>
    <row r="231" ht="12.75" customHeight="1">
      <c r="A231" s="64"/>
    </row>
    <row r="232" ht="12.75" customHeight="1">
      <c r="A232" s="64"/>
    </row>
    <row r="233" ht="12.75" customHeight="1">
      <c r="A233" s="64"/>
    </row>
    <row r="234" ht="12.75" customHeight="1">
      <c r="A234" s="64"/>
    </row>
    <row r="235" ht="12.75" customHeight="1">
      <c r="A235" s="64"/>
    </row>
    <row r="236" ht="12.75" customHeight="1">
      <c r="A236" s="64"/>
    </row>
    <row r="237" ht="12.75" customHeight="1">
      <c r="A237" s="64"/>
    </row>
    <row r="238" ht="12.75" customHeight="1">
      <c r="A238" s="64"/>
    </row>
    <row r="239" ht="12.75" customHeight="1">
      <c r="A239" s="64"/>
    </row>
    <row r="240" ht="12.75" customHeight="1">
      <c r="A240" s="64"/>
    </row>
    <row r="241" ht="12.75" customHeight="1">
      <c r="A241" s="64"/>
    </row>
    <row r="242" ht="12.75" customHeight="1">
      <c r="A242" s="64"/>
    </row>
    <row r="243" ht="12.75" customHeight="1">
      <c r="A243" s="64"/>
    </row>
    <row r="244" ht="12.75" customHeight="1">
      <c r="A244" s="64"/>
    </row>
    <row r="245" ht="12.75" customHeight="1">
      <c r="A245" s="64"/>
    </row>
    <row r="246" ht="12.75" customHeight="1">
      <c r="A246" s="64"/>
    </row>
    <row r="247" ht="12.75" customHeight="1">
      <c r="A247" s="64"/>
    </row>
    <row r="248" ht="12.75" customHeight="1">
      <c r="A248" s="64"/>
    </row>
    <row r="249" ht="12.75" customHeight="1">
      <c r="A249" s="64"/>
    </row>
    <row r="250" ht="12.75" customHeight="1">
      <c r="A250" s="64"/>
    </row>
    <row r="251" ht="12.75" customHeight="1">
      <c r="A251" s="64"/>
    </row>
    <row r="252" ht="12.75" customHeight="1">
      <c r="A252" s="64"/>
    </row>
    <row r="253" ht="12.75" customHeight="1">
      <c r="A253" s="64"/>
    </row>
    <row r="254" ht="12.75" customHeight="1">
      <c r="A254" s="64"/>
    </row>
    <row r="255" ht="12.75" customHeight="1">
      <c r="A255" s="64"/>
    </row>
    <row r="256" ht="12.75" customHeight="1">
      <c r="A256" s="64"/>
    </row>
    <row r="257" ht="12.75" customHeight="1">
      <c r="A257" s="64"/>
    </row>
    <row r="258" ht="12.75" customHeight="1">
      <c r="A258" s="64"/>
    </row>
    <row r="259" ht="12.75" customHeight="1">
      <c r="A259" s="64"/>
    </row>
    <row r="260" ht="12.75" customHeight="1">
      <c r="A260" s="64"/>
    </row>
    <row r="261" ht="12.75" customHeight="1">
      <c r="A261" s="64"/>
    </row>
    <row r="262" ht="12.75" customHeight="1">
      <c r="A262" s="64"/>
    </row>
    <row r="263" ht="12.75" customHeight="1">
      <c r="A263" s="64"/>
    </row>
    <row r="264" ht="12.75" customHeight="1">
      <c r="A264" s="64"/>
    </row>
    <row r="265" ht="12.75" customHeight="1">
      <c r="A265" s="64"/>
    </row>
    <row r="266" ht="12.75" customHeight="1">
      <c r="A266" s="64"/>
    </row>
    <row r="267" ht="12.75" customHeight="1">
      <c r="A267" s="64"/>
    </row>
    <row r="268" ht="12.75" customHeight="1">
      <c r="A268" s="64"/>
    </row>
    <row r="269" ht="12.75" customHeight="1">
      <c r="A269" s="64"/>
    </row>
    <row r="270" ht="12.75" customHeight="1">
      <c r="A270" s="64"/>
    </row>
    <row r="271" ht="12.75" customHeight="1">
      <c r="A271" s="64"/>
    </row>
    <row r="272" ht="12.75" customHeight="1">
      <c r="A272" s="64"/>
    </row>
    <row r="273" ht="12.75" customHeight="1">
      <c r="A273" s="64"/>
    </row>
    <row r="274" ht="12.75" customHeight="1">
      <c r="A274" s="64"/>
    </row>
    <row r="275" ht="12.75" customHeight="1">
      <c r="A275" s="64"/>
    </row>
    <row r="276" ht="12.75" customHeight="1">
      <c r="A276" s="64"/>
    </row>
    <row r="277" ht="12.75" customHeight="1">
      <c r="A277" s="64"/>
    </row>
    <row r="278" ht="12.75" customHeight="1">
      <c r="A278" s="64"/>
    </row>
    <row r="279" ht="12.75" customHeight="1">
      <c r="A279" s="64"/>
    </row>
    <row r="280" ht="12.75" customHeight="1">
      <c r="A280" s="64"/>
    </row>
    <row r="281" ht="12.75" customHeight="1">
      <c r="A281" s="64"/>
    </row>
    <row r="282" ht="12.75" customHeight="1">
      <c r="A282" s="64"/>
    </row>
    <row r="283" ht="12.75" customHeight="1">
      <c r="A283" s="64"/>
    </row>
    <row r="284" ht="12.75" customHeight="1">
      <c r="A284" s="64"/>
    </row>
    <row r="285" ht="12.75" customHeight="1">
      <c r="A285" s="64"/>
    </row>
    <row r="286" ht="12.75" customHeight="1">
      <c r="A286" s="64"/>
    </row>
    <row r="287" ht="12.75" customHeight="1">
      <c r="A287" s="64"/>
    </row>
    <row r="288" ht="12.75" customHeight="1">
      <c r="A288" s="64"/>
    </row>
    <row r="289" ht="12.75" customHeight="1">
      <c r="A289" s="64"/>
    </row>
    <row r="290" ht="12.75" customHeight="1">
      <c r="A290" s="64"/>
    </row>
    <row r="291" ht="12.75" customHeight="1">
      <c r="A291" s="64"/>
    </row>
    <row r="292" ht="12.75" customHeight="1">
      <c r="A292" s="64"/>
    </row>
    <row r="293" ht="12.75" customHeight="1">
      <c r="A293" s="64"/>
    </row>
    <row r="294" ht="12.75" customHeight="1">
      <c r="A294" s="64"/>
    </row>
    <row r="295" ht="12.75" customHeight="1">
      <c r="A295" s="64"/>
    </row>
    <row r="296" ht="12.75" customHeight="1">
      <c r="A296" s="64"/>
    </row>
    <row r="297" ht="12.75" customHeight="1">
      <c r="A297" s="64"/>
    </row>
    <row r="298" ht="12.75" customHeight="1">
      <c r="A298" s="64"/>
    </row>
    <row r="299" ht="12.75" customHeight="1">
      <c r="A299" s="64"/>
    </row>
    <row r="300" ht="12.75" customHeight="1">
      <c r="A300" s="64"/>
    </row>
    <row r="301" ht="12.75" customHeight="1">
      <c r="A301" s="64"/>
    </row>
    <row r="302" ht="12.75" customHeight="1">
      <c r="A302" s="64"/>
    </row>
    <row r="303" ht="12.75" customHeight="1">
      <c r="A303" s="64"/>
    </row>
    <row r="304" ht="12.75" customHeight="1">
      <c r="A304" s="64"/>
    </row>
    <row r="305" ht="12.75" customHeight="1">
      <c r="A305" s="64"/>
    </row>
    <row r="306" ht="12.75" customHeight="1">
      <c r="A306" s="64"/>
    </row>
    <row r="307" ht="12.75" customHeight="1">
      <c r="A307" s="64"/>
    </row>
    <row r="308" ht="12.75" customHeight="1">
      <c r="A308" s="64"/>
    </row>
    <row r="309" ht="12.75" customHeight="1">
      <c r="A309" s="64"/>
    </row>
    <row r="310" ht="12.75" customHeight="1">
      <c r="A310" s="64"/>
    </row>
    <row r="311" ht="12.75" customHeight="1">
      <c r="A311" s="64"/>
    </row>
    <row r="312" ht="12.75" customHeight="1">
      <c r="A312" s="64"/>
    </row>
    <row r="313" ht="12.75" customHeight="1">
      <c r="A313" s="64"/>
    </row>
    <row r="314" ht="12.75" customHeight="1">
      <c r="A314" s="64"/>
    </row>
    <row r="315" ht="12.75" customHeight="1">
      <c r="A315" s="64"/>
    </row>
    <row r="316" ht="12.75" customHeight="1">
      <c r="A316" s="64"/>
    </row>
    <row r="317" ht="12.75" customHeight="1">
      <c r="A317" s="64"/>
    </row>
    <row r="318" ht="12.75" customHeight="1">
      <c r="A318" s="64"/>
    </row>
    <row r="319" ht="12.75" customHeight="1">
      <c r="A319" s="64"/>
    </row>
    <row r="320" ht="12.75" customHeight="1">
      <c r="A320" s="64"/>
    </row>
    <row r="321" ht="12.75" customHeight="1">
      <c r="A321" s="64"/>
    </row>
    <row r="322" ht="12.75" customHeight="1">
      <c r="A322" s="64"/>
    </row>
    <row r="323" ht="12.75" customHeight="1">
      <c r="A323" s="64"/>
    </row>
    <row r="324" ht="12.75" customHeight="1">
      <c r="A324" s="64"/>
    </row>
    <row r="325" ht="12.75" customHeight="1">
      <c r="A325" s="64"/>
    </row>
    <row r="326" ht="12.75" customHeight="1">
      <c r="A326" s="64"/>
    </row>
    <row r="327" ht="12.75" customHeight="1">
      <c r="A327" s="64"/>
    </row>
    <row r="328" ht="12.75" customHeight="1">
      <c r="A328" s="64"/>
    </row>
    <row r="329" ht="12.75" customHeight="1">
      <c r="A329" s="64"/>
    </row>
    <row r="330" ht="12.75" customHeight="1">
      <c r="A330" s="64"/>
    </row>
    <row r="331" ht="12.75" customHeight="1">
      <c r="A331" s="64"/>
    </row>
    <row r="332" ht="12.75" customHeight="1">
      <c r="A332" s="64"/>
    </row>
    <row r="333" ht="12.75" customHeight="1">
      <c r="A333" s="64"/>
    </row>
    <row r="334" ht="12.75" customHeight="1">
      <c r="A334" s="64"/>
    </row>
    <row r="335" ht="12.75" customHeight="1">
      <c r="A335" s="64"/>
    </row>
    <row r="336" ht="12.75" customHeight="1">
      <c r="A336" s="64"/>
    </row>
    <row r="337" ht="12.75" customHeight="1">
      <c r="A337" s="64"/>
    </row>
    <row r="338" ht="12.75" customHeight="1">
      <c r="A338" s="64"/>
    </row>
    <row r="339" ht="12.75" customHeight="1">
      <c r="A339" s="64"/>
    </row>
    <row r="340" ht="12.75" customHeight="1">
      <c r="A340" s="64"/>
    </row>
    <row r="341" ht="12.75" customHeight="1">
      <c r="A341" s="64"/>
    </row>
    <row r="342" ht="12.75" customHeight="1">
      <c r="A342" s="64"/>
    </row>
    <row r="343" ht="12.75" customHeight="1">
      <c r="A343" s="64"/>
    </row>
    <row r="344" ht="12.75" customHeight="1">
      <c r="A344" s="64"/>
    </row>
    <row r="345" ht="12.75" customHeight="1">
      <c r="A345" s="64"/>
    </row>
    <row r="346" ht="12.75" customHeight="1">
      <c r="A346" s="64"/>
    </row>
    <row r="347" ht="12.75" customHeight="1">
      <c r="A347" s="64"/>
    </row>
    <row r="348" ht="12.75" customHeight="1">
      <c r="A348" s="64"/>
    </row>
    <row r="349" ht="12.75" customHeight="1">
      <c r="A349" s="64"/>
    </row>
    <row r="350" ht="12.75" customHeight="1">
      <c r="A350" s="64"/>
    </row>
    <row r="351" ht="12.75" customHeight="1">
      <c r="A351" s="64"/>
    </row>
    <row r="352" ht="12.75" customHeight="1">
      <c r="A352" s="64"/>
    </row>
    <row r="353" ht="12.75" customHeight="1">
      <c r="A353" s="64"/>
    </row>
    <row r="354" ht="12.75" customHeight="1">
      <c r="A354" s="64"/>
    </row>
    <row r="355" ht="12.75" customHeight="1">
      <c r="A355" s="64"/>
    </row>
    <row r="356" ht="12.75" customHeight="1">
      <c r="A356" s="64"/>
    </row>
    <row r="357" ht="12.75" customHeight="1">
      <c r="A357" s="64"/>
    </row>
    <row r="358" ht="12.75" customHeight="1">
      <c r="A358" s="64"/>
    </row>
    <row r="359" ht="12.75" customHeight="1">
      <c r="A359" s="64"/>
    </row>
    <row r="360" ht="12.75" customHeight="1">
      <c r="A360" s="64"/>
    </row>
    <row r="361" ht="12.75" customHeight="1">
      <c r="A361" s="64"/>
    </row>
    <row r="362" ht="12.75" customHeight="1">
      <c r="A362" s="64"/>
    </row>
    <row r="363" ht="12.75" customHeight="1">
      <c r="A363" s="64"/>
    </row>
    <row r="364" ht="12.75" customHeight="1">
      <c r="A364" s="64"/>
    </row>
    <row r="365" ht="12.75" customHeight="1">
      <c r="A365" s="64"/>
    </row>
    <row r="366" ht="12.75" customHeight="1">
      <c r="A366" s="64"/>
    </row>
    <row r="367" ht="12.75" customHeight="1">
      <c r="A367" s="64"/>
    </row>
    <row r="368" ht="12.75" customHeight="1">
      <c r="A368" s="64"/>
    </row>
    <row r="369" ht="12.75" customHeight="1">
      <c r="A369" s="64"/>
    </row>
    <row r="370" ht="12.75" customHeight="1">
      <c r="A370" s="64"/>
    </row>
    <row r="371" ht="12.75" customHeight="1">
      <c r="A371" s="64"/>
    </row>
    <row r="372" ht="12.75" customHeight="1">
      <c r="A372" s="64"/>
    </row>
    <row r="373" ht="12.75" customHeight="1">
      <c r="A373" s="64"/>
    </row>
    <row r="374" ht="12.75" customHeight="1">
      <c r="A374" s="64"/>
    </row>
    <row r="375" ht="12.75" customHeight="1">
      <c r="A375" s="64"/>
    </row>
    <row r="376" ht="12.75" customHeight="1">
      <c r="A376" s="64"/>
    </row>
    <row r="377" ht="12.75" customHeight="1">
      <c r="A377" s="64"/>
    </row>
    <row r="378" ht="12.75" customHeight="1">
      <c r="A378" s="64"/>
    </row>
    <row r="379" ht="12.75" customHeight="1">
      <c r="A379" s="64"/>
    </row>
    <row r="380" ht="12.75" customHeight="1">
      <c r="A380" s="64"/>
    </row>
    <row r="381" ht="12.75" customHeight="1">
      <c r="A381" s="64"/>
    </row>
    <row r="382" ht="12.75" customHeight="1">
      <c r="A382" s="64"/>
    </row>
    <row r="383" ht="12.75" customHeight="1">
      <c r="A383" s="64"/>
    </row>
    <row r="384" ht="12.75" customHeight="1">
      <c r="A384" s="64"/>
    </row>
    <row r="385" ht="12.75" customHeight="1">
      <c r="A385" s="64"/>
    </row>
    <row r="386" ht="12.75" customHeight="1">
      <c r="A386" s="64"/>
    </row>
    <row r="387" ht="12.75" customHeight="1">
      <c r="A387" s="64"/>
    </row>
    <row r="388" ht="12.75" customHeight="1">
      <c r="A388" s="64"/>
    </row>
    <row r="389" ht="12.75" customHeight="1">
      <c r="A389" s="64"/>
    </row>
    <row r="390" ht="12.75" customHeight="1">
      <c r="A390" s="64"/>
    </row>
    <row r="391" ht="12.75" customHeight="1">
      <c r="A391" s="64"/>
    </row>
    <row r="392" ht="12.75" customHeight="1">
      <c r="A392" s="64"/>
    </row>
    <row r="393" ht="12.75" customHeight="1">
      <c r="A393" s="64"/>
    </row>
    <row r="394" ht="12.75" customHeight="1">
      <c r="A394" s="64"/>
    </row>
    <row r="395" ht="12.75" customHeight="1">
      <c r="A395" s="64"/>
    </row>
    <row r="396" ht="12.75" customHeight="1">
      <c r="A396" s="64"/>
    </row>
    <row r="397" ht="12.75" customHeight="1">
      <c r="A397" s="64"/>
    </row>
    <row r="398" ht="12.75" customHeight="1">
      <c r="A398" s="64"/>
    </row>
    <row r="399" ht="12.75" customHeight="1">
      <c r="A399" s="64"/>
    </row>
    <row r="400" ht="12.75" customHeight="1">
      <c r="A400" s="64"/>
    </row>
    <row r="401" ht="12.75" customHeight="1">
      <c r="A401" s="64"/>
    </row>
    <row r="402" ht="12.75" customHeight="1">
      <c r="A402" s="64"/>
    </row>
    <row r="403" ht="12.75" customHeight="1">
      <c r="A403" s="64"/>
    </row>
    <row r="404" ht="12.75" customHeight="1">
      <c r="A404" s="64"/>
    </row>
    <row r="405" ht="12.75" customHeight="1">
      <c r="A405" s="64"/>
    </row>
    <row r="406" ht="12.75" customHeight="1">
      <c r="A406" s="64"/>
    </row>
    <row r="407" ht="12.75" customHeight="1">
      <c r="A407" s="64"/>
    </row>
    <row r="408" ht="12.75" customHeight="1">
      <c r="A408" s="64"/>
    </row>
    <row r="409" ht="12.75" customHeight="1">
      <c r="A409" s="64"/>
    </row>
    <row r="410" ht="12.75" customHeight="1">
      <c r="A410" s="64"/>
    </row>
    <row r="411" ht="12.75" customHeight="1">
      <c r="A411" s="64"/>
    </row>
    <row r="412" ht="12.75" customHeight="1">
      <c r="A412" s="64"/>
    </row>
    <row r="413" ht="12.75" customHeight="1">
      <c r="A413" s="64"/>
    </row>
    <row r="414" ht="12.75" customHeight="1">
      <c r="A414" s="64"/>
    </row>
    <row r="415" ht="12.75" customHeight="1">
      <c r="A415" s="64"/>
    </row>
    <row r="416" ht="12.75" customHeight="1">
      <c r="A416" s="64"/>
    </row>
    <row r="417" ht="12.75" customHeight="1">
      <c r="A417" s="64"/>
    </row>
    <row r="418" ht="12.75" customHeight="1">
      <c r="A418" s="64"/>
    </row>
    <row r="419" ht="12.75" customHeight="1">
      <c r="A419" s="64"/>
    </row>
    <row r="420" ht="12.75" customHeight="1">
      <c r="A420" s="64"/>
    </row>
    <row r="421" ht="12.75" customHeight="1">
      <c r="A421" s="64"/>
    </row>
    <row r="422" ht="12.75" customHeight="1">
      <c r="A422" s="64"/>
    </row>
    <row r="423" ht="12.75" customHeight="1">
      <c r="A423" s="64"/>
    </row>
    <row r="424" ht="12.75" customHeight="1">
      <c r="A424" s="64"/>
    </row>
    <row r="425" ht="12.75" customHeight="1">
      <c r="A425" s="64"/>
    </row>
    <row r="426" ht="12.75" customHeight="1">
      <c r="A426" s="64"/>
    </row>
    <row r="427" ht="12.75" customHeight="1">
      <c r="A427" s="64"/>
    </row>
    <row r="428" ht="12.75" customHeight="1">
      <c r="A428" s="64"/>
    </row>
    <row r="429" ht="12.75" customHeight="1">
      <c r="A429" s="64"/>
    </row>
    <row r="430" ht="12.75" customHeight="1">
      <c r="A430" s="64"/>
    </row>
    <row r="431" ht="12.75" customHeight="1">
      <c r="A431" s="64"/>
    </row>
    <row r="432" ht="12.75" customHeight="1">
      <c r="A432" s="64"/>
    </row>
    <row r="433" ht="12.75" customHeight="1">
      <c r="A433" s="64"/>
    </row>
    <row r="434" ht="12.75" customHeight="1">
      <c r="A434" s="64"/>
    </row>
    <row r="435" ht="12.75" customHeight="1">
      <c r="A435" s="64"/>
    </row>
    <row r="436" ht="12.75" customHeight="1">
      <c r="A436" s="64"/>
    </row>
    <row r="437" ht="12.75" customHeight="1">
      <c r="A437" s="64"/>
    </row>
    <row r="438" ht="12.75" customHeight="1">
      <c r="A438" s="64"/>
    </row>
    <row r="439" ht="12.75" customHeight="1">
      <c r="A439" s="64"/>
    </row>
    <row r="440" ht="12.75" customHeight="1">
      <c r="A440" s="64"/>
    </row>
    <row r="441" ht="12.75" customHeight="1">
      <c r="A441" s="64"/>
    </row>
    <row r="442" ht="12.75" customHeight="1">
      <c r="A442" s="64"/>
    </row>
    <row r="443" ht="12.75" customHeight="1">
      <c r="A443" s="64"/>
    </row>
    <row r="444" ht="12.75" customHeight="1">
      <c r="A444" s="64"/>
    </row>
    <row r="445" ht="12.75" customHeight="1">
      <c r="A445" s="64"/>
    </row>
    <row r="446" ht="12.75" customHeight="1">
      <c r="A446" s="64"/>
    </row>
    <row r="447" ht="12.75" customHeight="1">
      <c r="A447" s="64"/>
    </row>
    <row r="448" ht="12.75" customHeight="1">
      <c r="A448" s="64"/>
    </row>
    <row r="449" ht="12.75" customHeight="1">
      <c r="A449" s="64"/>
    </row>
    <row r="450" ht="12.75" customHeight="1">
      <c r="A450" s="64"/>
    </row>
    <row r="451" ht="12.75" customHeight="1">
      <c r="A451" s="64"/>
    </row>
    <row r="452" ht="12.75" customHeight="1">
      <c r="A452" s="64"/>
    </row>
    <row r="453" ht="12.75" customHeight="1">
      <c r="A453" s="64"/>
    </row>
    <row r="454" ht="12.75" customHeight="1">
      <c r="A454" s="64"/>
    </row>
    <row r="455" ht="12.75" customHeight="1">
      <c r="A455" s="64"/>
    </row>
    <row r="456" ht="12.75" customHeight="1">
      <c r="A456" s="64"/>
    </row>
    <row r="457" ht="12.75" customHeight="1">
      <c r="A457" s="64"/>
    </row>
    <row r="458" ht="12.75" customHeight="1">
      <c r="A458" s="64"/>
    </row>
    <row r="459" ht="12.75" customHeight="1">
      <c r="A459" s="64"/>
    </row>
    <row r="460" ht="12.75" customHeight="1">
      <c r="A460" s="64"/>
    </row>
    <row r="461" ht="12.75" customHeight="1">
      <c r="A461" s="64"/>
    </row>
    <row r="462" ht="12.75" customHeight="1">
      <c r="A462" s="64"/>
    </row>
    <row r="463" ht="12.75" customHeight="1">
      <c r="A463" s="64"/>
    </row>
    <row r="464" ht="12.75" customHeight="1">
      <c r="A464" s="64"/>
    </row>
    <row r="465" ht="12.75" customHeight="1">
      <c r="A465" s="64"/>
    </row>
    <row r="466" ht="12.75" customHeight="1">
      <c r="A466" s="64"/>
    </row>
    <row r="467" ht="12.75" customHeight="1">
      <c r="A467" s="64"/>
    </row>
    <row r="468" ht="12.75" customHeight="1">
      <c r="A468" s="64"/>
    </row>
    <row r="469" ht="12.75" customHeight="1">
      <c r="A469" s="64"/>
    </row>
    <row r="470" ht="12.75" customHeight="1">
      <c r="A470" s="64"/>
    </row>
    <row r="471" ht="12.75" customHeight="1">
      <c r="A471" s="64"/>
    </row>
    <row r="472" ht="12.75" customHeight="1">
      <c r="A472" s="64"/>
    </row>
    <row r="473" ht="12.75" customHeight="1">
      <c r="A473" s="64"/>
    </row>
    <row r="474" ht="12.75" customHeight="1">
      <c r="A474" s="64"/>
    </row>
    <row r="475" ht="12.75" customHeight="1">
      <c r="A475" s="64"/>
    </row>
    <row r="476" ht="12.75" customHeight="1">
      <c r="A476" s="64"/>
    </row>
    <row r="477" ht="12.75" customHeight="1">
      <c r="A477" s="64"/>
    </row>
    <row r="478" ht="12.75" customHeight="1">
      <c r="A478" s="64"/>
    </row>
    <row r="479" ht="12.75" customHeight="1">
      <c r="A479" s="64"/>
    </row>
    <row r="480" ht="12.75" customHeight="1">
      <c r="A480" s="64"/>
    </row>
    <row r="481" ht="12.75" customHeight="1">
      <c r="A481" s="64"/>
    </row>
    <row r="482" ht="12.75" customHeight="1">
      <c r="A482" s="64"/>
    </row>
    <row r="483" ht="12.75" customHeight="1">
      <c r="A483" s="64"/>
    </row>
    <row r="484" ht="12.75" customHeight="1">
      <c r="A484" s="64"/>
    </row>
    <row r="485" ht="12.75" customHeight="1">
      <c r="A485" s="64"/>
    </row>
    <row r="486" ht="12.75" customHeight="1">
      <c r="A486" s="64"/>
    </row>
    <row r="487" ht="12.75" customHeight="1">
      <c r="A487" s="64"/>
    </row>
    <row r="488" ht="12.75" customHeight="1">
      <c r="A488" s="64"/>
    </row>
    <row r="489" ht="12.75" customHeight="1">
      <c r="A489" s="64"/>
    </row>
    <row r="490" ht="12.75" customHeight="1">
      <c r="A490" s="64"/>
    </row>
    <row r="491" ht="12.75" customHeight="1">
      <c r="A491" s="64"/>
    </row>
    <row r="492" ht="12.75" customHeight="1">
      <c r="A492" s="64"/>
    </row>
    <row r="493" ht="12.75" customHeight="1">
      <c r="A493" s="64"/>
    </row>
    <row r="494" ht="12.75" customHeight="1">
      <c r="A494" s="64"/>
    </row>
    <row r="495" ht="12.75" customHeight="1">
      <c r="A495" s="64"/>
    </row>
    <row r="496" ht="12.75" customHeight="1">
      <c r="A496" s="64"/>
    </row>
    <row r="497" ht="12.75" customHeight="1">
      <c r="A497" s="64"/>
    </row>
    <row r="498" ht="12.75" customHeight="1">
      <c r="A498" s="64"/>
    </row>
    <row r="499" ht="12.75" customHeight="1">
      <c r="A499" s="64"/>
    </row>
    <row r="500" ht="12.75" customHeight="1">
      <c r="A500" s="64"/>
    </row>
    <row r="501" ht="12.75" customHeight="1">
      <c r="A501" s="64"/>
    </row>
    <row r="502" ht="12.75" customHeight="1">
      <c r="A502" s="64"/>
    </row>
    <row r="503" ht="12.75" customHeight="1">
      <c r="A503" s="64"/>
    </row>
    <row r="504" ht="12.75" customHeight="1">
      <c r="A504" s="64"/>
    </row>
    <row r="505" ht="12.75" customHeight="1">
      <c r="A505" s="64"/>
    </row>
    <row r="506" ht="12.75" customHeight="1">
      <c r="A506" s="64"/>
    </row>
    <row r="507" ht="12.75" customHeight="1">
      <c r="A507" s="64"/>
    </row>
    <row r="508" ht="12.75" customHeight="1">
      <c r="A508" s="64"/>
    </row>
    <row r="509" ht="12.75" customHeight="1">
      <c r="A509" s="64"/>
    </row>
    <row r="510" ht="12.75" customHeight="1">
      <c r="A510" s="64"/>
    </row>
    <row r="511" ht="12.75" customHeight="1">
      <c r="A511" s="64"/>
    </row>
    <row r="512" ht="12.75" customHeight="1">
      <c r="A512" s="64"/>
    </row>
    <row r="513" ht="12.75" customHeight="1">
      <c r="A513" s="64"/>
    </row>
    <row r="514" ht="12.75" customHeight="1">
      <c r="A514" s="64"/>
    </row>
    <row r="515" ht="12.75" customHeight="1">
      <c r="A515" s="64"/>
    </row>
    <row r="516" ht="12.75" customHeight="1">
      <c r="A516" s="64"/>
    </row>
    <row r="517" ht="12.75" customHeight="1">
      <c r="A517" s="64"/>
    </row>
    <row r="518" ht="12.75" customHeight="1">
      <c r="A518" s="64"/>
    </row>
    <row r="519" ht="12.75" customHeight="1">
      <c r="A519" s="64"/>
    </row>
    <row r="520" ht="12.75" customHeight="1">
      <c r="A520" s="64"/>
    </row>
    <row r="521" ht="12.75" customHeight="1">
      <c r="A521" s="64"/>
    </row>
    <row r="522" ht="12.75" customHeight="1">
      <c r="A522" s="64"/>
    </row>
    <row r="523" ht="12.75" customHeight="1">
      <c r="A523" s="64"/>
    </row>
    <row r="524" ht="12.75" customHeight="1">
      <c r="A524" s="64"/>
    </row>
    <row r="525" ht="12.75" customHeight="1">
      <c r="A525" s="64"/>
    </row>
    <row r="526" ht="12.75" customHeight="1">
      <c r="A526" s="64"/>
    </row>
    <row r="527" ht="12.75" customHeight="1">
      <c r="A527" s="64"/>
    </row>
    <row r="528" ht="12.75" customHeight="1">
      <c r="A528" s="64"/>
    </row>
    <row r="529" ht="12.75" customHeight="1">
      <c r="A529" s="64"/>
    </row>
    <row r="530" ht="12.75" customHeight="1">
      <c r="A530" s="64"/>
    </row>
    <row r="531" ht="12.75" customHeight="1">
      <c r="A531" s="64"/>
    </row>
    <row r="532" ht="12.75" customHeight="1">
      <c r="A532" s="64"/>
    </row>
    <row r="533" ht="12.75" customHeight="1">
      <c r="A533" s="64"/>
    </row>
    <row r="534" ht="12.75" customHeight="1">
      <c r="A534" s="64"/>
    </row>
    <row r="535" ht="12.75" customHeight="1">
      <c r="A535" s="64"/>
    </row>
    <row r="536" ht="12.75" customHeight="1">
      <c r="A536" s="64"/>
    </row>
    <row r="537" ht="12.75" customHeight="1">
      <c r="A537" s="64"/>
    </row>
    <row r="538" ht="12.75" customHeight="1">
      <c r="A538" s="64"/>
    </row>
    <row r="539" ht="12.75" customHeight="1">
      <c r="A539" s="64"/>
    </row>
    <row r="540" ht="12.75" customHeight="1">
      <c r="A540" s="64"/>
    </row>
    <row r="541" ht="12.75" customHeight="1">
      <c r="A541" s="64"/>
    </row>
    <row r="542" ht="12.75" customHeight="1">
      <c r="A542" s="64"/>
    </row>
    <row r="543" ht="12.75" customHeight="1">
      <c r="A543" s="64"/>
    </row>
    <row r="544" ht="12.75" customHeight="1">
      <c r="A544" s="64"/>
    </row>
    <row r="545" ht="12.75" customHeight="1">
      <c r="A545" s="64"/>
    </row>
    <row r="546" ht="12.75" customHeight="1">
      <c r="A546" s="64"/>
    </row>
    <row r="547" ht="12.75" customHeight="1">
      <c r="A547" s="64"/>
    </row>
    <row r="548" ht="12.75" customHeight="1">
      <c r="A548" s="64"/>
    </row>
    <row r="549" ht="12.75" customHeight="1">
      <c r="A549" s="64"/>
    </row>
    <row r="550" ht="12.75" customHeight="1">
      <c r="A550" s="64"/>
    </row>
    <row r="551" ht="12.75" customHeight="1">
      <c r="A551" s="64"/>
    </row>
    <row r="552" ht="12.75" customHeight="1">
      <c r="A552" s="64"/>
    </row>
    <row r="553" ht="12.75" customHeight="1">
      <c r="A553" s="64"/>
    </row>
    <row r="554" ht="12.75" customHeight="1">
      <c r="A554" s="64"/>
    </row>
    <row r="555" ht="12.75" customHeight="1">
      <c r="A555" s="64"/>
    </row>
    <row r="556" ht="12.75" customHeight="1">
      <c r="A556" s="64"/>
    </row>
    <row r="557" ht="12.75" customHeight="1">
      <c r="A557" s="64"/>
    </row>
    <row r="558" ht="12.75" customHeight="1">
      <c r="A558" s="64"/>
    </row>
    <row r="559" ht="12.75" customHeight="1">
      <c r="A559" s="64"/>
    </row>
    <row r="560" ht="12.75" customHeight="1">
      <c r="A560" s="64"/>
    </row>
    <row r="561" ht="12.75" customHeight="1">
      <c r="A561" s="64"/>
    </row>
    <row r="562" ht="12.75" customHeight="1">
      <c r="A562" s="64"/>
    </row>
    <row r="563" ht="12.75" customHeight="1">
      <c r="A563" s="64"/>
    </row>
    <row r="564" ht="12.75" customHeight="1">
      <c r="A564" s="64"/>
    </row>
    <row r="565" ht="12.75" customHeight="1">
      <c r="A565" s="64"/>
    </row>
    <row r="566" ht="12.75" customHeight="1">
      <c r="A566" s="64"/>
    </row>
    <row r="567" ht="12.75" customHeight="1">
      <c r="A567" s="64"/>
    </row>
    <row r="568" ht="12.75" customHeight="1">
      <c r="A568" s="64"/>
    </row>
    <row r="569" ht="12.75" customHeight="1">
      <c r="A569" s="64"/>
    </row>
    <row r="570" ht="12.75" customHeight="1">
      <c r="A570" s="64"/>
    </row>
    <row r="571" ht="12.75" customHeight="1">
      <c r="A571" s="64"/>
    </row>
    <row r="572" ht="12.75" customHeight="1">
      <c r="A572" s="64"/>
    </row>
    <row r="573" ht="12.75" customHeight="1">
      <c r="A573" s="64"/>
    </row>
    <row r="574" ht="12.75" customHeight="1">
      <c r="A574" s="64"/>
    </row>
    <row r="575" ht="12.75" customHeight="1">
      <c r="A575" s="64"/>
    </row>
    <row r="576" ht="12.75" customHeight="1">
      <c r="A576" s="64"/>
    </row>
    <row r="577" ht="12.75" customHeight="1">
      <c r="A577" s="64"/>
    </row>
    <row r="578" ht="12.75" customHeight="1">
      <c r="A578" s="64"/>
    </row>
    <row r="579" ht="12.75" customHeight="1">
      <c r="A579" s="64"/>
    </row>
    <row r="580" ht="12.75" customHeight="1">
      <c r="A580" s="64"/>
    </row>
    <row r="581" ht="12.75" customHeight="1">
      <c r="A581" s="64"/>
    </row>
    <row r="582" ht="12.75" customHeight="1">
      <c r="A582" s="64"/>
    </row>
    <row r="583" ht="12.75" customHeight="1">
      <c r="A583" s="64"/>
    </row>
    <row r="584" ht="12.75" customHeight="1">
      <c r="A584" s="64"/>
    </row>
    <row r="585" ht="12.75" customHeight="1">
      <c r="A585" s="64"/>
    </row>
    <row r="586" ht="12.75" customHeight="1">
      <c r="A586" s="64"/>
    </row>
    <row r="587" ht="12.75" customHeight="1">
      <c r="A587" s="64"/>
    </row>
    <row r="588" ht="12.75" customHeight="1">
      <c r="A588" s="64"/>
    </row>
    <row r="589" ht="12.75" customHeight="1">
      <c r="A589" s="64"/>
    </row>
    <row r="590" ht="12.75" customHeight="1">
      <c r="A590" s="64"/>
    </row>
    <row r="591" ht="12.75" customHeight="1">
      <c r="A591" s="64"/>
    </row>
    <row r="592" ht="12.75" customHeight="1">
      <c r="A592" s="64"/>
    </row>
    <row r="593" ht="12.75" customHeight="1">
      <c r="A593" s="64"/>
    </row>
    <row r="594" ht="12.75" customHeight="1">
      <c r="A594" s="64"/>
    </row>
    <row r="595" ht="12.75" customHeight="1">
      <c r="A595" s="64"/>
    </row>
    <row r="596" ht="12.75" customHeight="1">
      <c r="A596" s="64"/>
    </row>
    <row r="597" ht="12.75" customHeight="1">
      <c r="A597" s="64"/>
    </row>
    <row r="598" ht="12.75" customHeight="1">
      <c r="A598" s="64"/>
    </row>
    <row r="599" ht="12.75" customHeight="1">
      <c r="A599" s="64"/>
    </row>
    <row r="600" ht="12.75" customHeight="1">
      <c r="A600" s="64"/>
    </row>
    <row r="601" ht="12.75" customHeight="1">
      <c r="A601" s="64"/>
    </row>
    <row r="602" ht="12.75" customHeight="1">
      <c r="A602" s="64"/>
    </row>
    <row r="603" ht="12.75" customHeight="1">
      <c r="A603" s="64"/>
    </row>
    <row r="604" ht="12.75" customHeight="1">
      <c r="A604" s="64"/>
    </row>
    <row r="605" ht="12.75" customHeight="1">
      <c r="A605" s="64"/>
    </row>
    <row r="606" ht="12.75" customHeight="1">
      <c r="A606" s="64"/>
    </row>
    <row r="607" ht="12.75" customHeight="1">
      <c r="A607" s="64"/>
    </row>
    <row r="608" ht="12.75" customHeight="1">
      <c r="A608" s="64"/>
    </row>
    <row r="609" ht="12.75" customHeight="1">
      <c r="A609" s="64"/>
    </row>
    <row r="610" ht="12.75" customHeight="1">
      <c r="A610" s="64"/>
    </row>
    <row r="611" ht="12.75" customHeight="1">
      <c r="A611" s="64"/>
    </row>
    <row r="612" ht="12.75" customHeight="1">
      <c r="A612" s="64"/>
    </row>
    <row r="613" ht="12.75" customHeight="1">
      <c r="A613" s="64"/>
    </row>
    <row r="614" ht="12.75" customHeight="1">
      <c r="A614" s="64"/>
    </row>
    <row r="615" ht="12.75" customHeight="1">
      <c r="A615" s="64"/>
    </row>
    <row r="616" ht="12.75" customHeight="1">
      <c r="A616" s="64"/>
    </row>
    <row r="617" ht="12.75" customHeight="1">
      <c r="A617" s="64"/>
    </row>
    <row r="618" ht="12.75" customHeight="1">
      <c r="A618" s="64"/>
    </row>
    <row r="619" ht="12.75" customHeight="1">
      <c r="A619" s="64"/>
    </row>
    <row r="620" ht="12.75" customHeight="1">
      <c r="A620" s="64"/>
    </row>
    <row r="621" ht="12.75" customHeight="1">
      <c r="A621" s="64"/>
    </row>
    <row r="622" ht="12.75" customHeight="1">
      <c r="A622" s="64"/>
    </row>
    <row r="623" ht="12.75" customHeight="1">
      <c r="A623" s="64"/>
    </row>
    <row r="624" ht="12.75" customHeight="1">
      <c r="A624" s="64"/>
    </row>
    <row r="625" ht="12.75" customHeight="1">
      <c r="A625" s="64"/>
    </row>
    <row r="626" ht="12.75" customHeight="1">
      <c r="A626" s="64"/>
    </row>
    <row r="627" ht="12.75" customHeight="1">
      <c r="A627" s="64"/>
    </row>
    <row r="628" ht="12.75" customHeight="1">
      <c r="A628" s="64"/>
    </row>
    <row r="629" ht="12.75" customHeight="1">
      <c r="A629" s="64"/>
    </row>
    <row r="630" ht="12.75" customHeight="1">
      <c r="A630" s="64"/>
    </row>
    <row r="631" ht="12.75" customHeight="1">
      <c r="A631" s="64"/>
    </row>
    <row r="632" ht="12.75" customHeight="1">
      <c r="A632" s="64"/>
    </row>
    <row r="633" ht="12.75" customHeight="1">
      <c r="A633" s="64"/>
    </row>
    <row r="634" ht="12.75" customHeight="1">
      <c r="A634" s="64"/>
    </row>
    <row r="635" ht="12.75" customHeight="1">
      <c r="A635" s="64"/>
    </row>
    <row r="636" ht="12.75" customHeight="1">
      <c r="A636" s="64"/>
    </row>
    <row r="637" ht="12.75" customHeight="1">
      <c r="A637" s="64"/>
    </row>
    <row r="638" ht="12.75" customHeight="1">
      <c r="A638" s="64"/>
    </row>
    <row r="639" ht="12.75" customHeight="1">
      <c r="A639" s="64"/>
    </row>
    <row r="640" ht="12.75" customHeight="1">
      <c r="A640" s="64"/>
    </row>
    <row r="641" ht="12.75" customHeight="1">
      <c r="A641" s="64"/>
    </row>
    <row r="642" ht="12.75" customHeight="1">
      <c r="A642" s="64"/>
    </row>
    <row r="643" ht="12.75" customHeight="1">
      <c r="A643" s="64"/>
    </row>
    <row r="644" ht="12.75" customHeight="1">
      <c r="A644" s="64"/>
    </row>
    <row r="645" ht="12.75" customHeight="1">
      <c r="A645" s="64"/>
    </row>
    <row r="646" ht="12.75" customHeight="1">
      <c r="A646" s="64"/>
    </row>
    <row r="647" ht="12.75" customHeight="1">
      <c r="A647" s="64"/>
    </row>
    <row r="648" ht="12.75" customHeight="1">
      <c r="A648" s="64"/>
    </row>
    <row r="649" ht="12.75" customHeight="1">
      <c r="A649" s="64"/>
    </row>
    <row r="650" ht="12.75" customHeight="1">
      <c r="A650" s="64"/>
    </row>
    <row r="651" ht="12.75" customHeight="1">
      <c r="A651" s="64"/>
    </row>
    <row r="652" ht="12.75" customHeight="1">
      <c r="A652" s="64"/>
    </row>
    <row r="653" ht="12.75" customHeight="1">
      <c r="A653" s="64"/>
    </row>
    <row r="654" ht="12.75" customHeight="1">
      <c r="A654" s="64"/>
    </row>
    <row r="655" ht="12.75" customHeight="1">
      <c r="A655" s="64"/>
    </row>
    <row r="656" ht="12.75" customHeight="1">
      <c r="A656" s="64"/>
    </row>
    <row r="657" ht="12.75" customHeight="1">
      <c r="A657" s="64"/>
    </row>
    <row r="658" ht="12.75" customHeight="1">
      <c r="A658" s="64"/>
    </row>
    <row r="659" ht="12.75" customHeight="1">
      <c r="A659" s="64"/>
    </row>
    <row r="660" ht="12.75" customHeight="1">
      <c r="A660" s="64"/>
    </row>
    <row r="661" ht="12.75" customHeight="1">
      <c r="A661" s="64"/>
    </row>
    <row r="662" ht="12.75" customHeight="1">
      <c r="A662" s="64"/>
    </row>
    <row r="663" ht="12.75" customHeight="1">
      <c r="A663" s="64"/>
    </row>
    <row r="664" ht="12.75" customHeight="1">
      <c r="A664" s="64"/>
    </row>
    <row r="665" ht="12.75" customHeight="1">
      <c r="A665" s="64"/>
    </row>
    <row r="666" ht="12.75" customHeight="1">
      <c r="A666" s="64"/>
    </row>
    <row r="667" ht="12.75" customHeight="1">
      <c r="A667" s="64"/>
    </row>
    <row r="668" ht="12.75" customHeight="1">
      <c r="A668" s="64"/>
    </row>
    <row r="669" ht="12.75" customHeight="1">
      <c r="A669" s="64"/>
    </row>
    <row r="670" ht="12.75" customHeight="1">
      <c r="A670" s="64"/>
    </row>
    <row r="671" ht="12.75" customHeight="1">
      <c r="A671" s="64"/>
    </row>
    <row r="672" ht="12.75" customHeight="1">
      <c r="A672" s="64"/>
    </row>
    <row r="673" ht="12.75" customHeight="1">
      <c r="A673" s="64"/>
    </row>
    <row r="674" ht="12.75" customHeight="1">
      <c r="A674" s="64"/>
    </row>
    <row r="675" ht="12.75" customHeight="1">
      <c r="A675" s="64"/>
    </row>
    <row r="676" ht="12.75" customHeight="1">
      <c r="A676" s="64"/>
    </row>
    <row r="677" ht="12.75" customHeight="1">
      <c r="A677" s="64"/>
    </row>
    <row r="678" ht="12.75" customHeight="1">
      <c r="A678" s="64"/>
    </row>
    <row r="679" ht="12.75" customHeight="1">
      <c r="A679" s="64"/>
    </row>
    <row r="680" ht="12.75" customHeight="1">
      <c r="A680" s="64"/>
    </row>
    <row r="681" ht="12.75" customHeight="1">
      <c r="A681" s="64"/>
    </row>
    <row r="682" ht="12.75" customHeight="1">
      <c r="A682" s="64"/>
    </row>
    <row r="683" ht="12.75" customHeight="1">
      <c r="A683" s="64"/>
    </row>
    <row r="684" ht="12.75" customHeight="1">
      <c r="A684" s="64"/>
    </row>
    <row r="685" ht="12.75" customHeight="1">
      <c r="A685" s="64"/>
    </row>
    <row r="686" ht="12.75" customHeight="1">
      <c r="A686" s="64"/>
    </row>
    <row r="687" ht="12.75" customHeight="1">
      <c r="A687" s="64"/>
    </row>
    <row r="688" ht="12.75" customHeight="1">
      <c r="A688" s="64"/>
    </row>
    <row r="689" ht="12.75" customHeight="1">
      <c r="A689" s="64"/>
    </row>
    <row r="690" ht="12.75" customHeight="1">
      <c r="A690" s="64"/>
    </row>
    <row r="691" ht="12.75" customHeight="1">
      <c r="A691" s="64"/>
    </row>
    <row r="692" ht="12.75" customHeight="1">
      <c r="A692" s="64"/>
    </row>
    <row r="693" ht="12.75" customHeight="1">
      <c r="A693" s="64"/>
    </row>
    <row r="694" ht="12.75" customHeight="1">
      <c r="A694" s="64"/>
    </row>
    <row r="695" ht="12.75" customHeight="1">
      <c r="A695" s="64"/>
    </row>
    <row r="696" ht="12.75" customHeight="1">
      <c r="A696" s="64"/>
    </row>
    <row r="697" ht="12.75" customHeight="1">
      <c r="A697" s="64"/>
    </row>
    <row r="698" ht="12.75" customHeight="1">
      <c r="A698" s="64"/>
    </row>
    <row r="699" ht="12.75" customHeight="1">
      <c r="A699" s="64"/>
    </row>
    <row r="700" ht="12.75" customHeight="1">
      <c r="A700" s="64"/>
    </row>
    <row r="701" ht="12.75" customHeight="1">
      <c r="A701" s="64"/>
    </row>
    <row r="702" ht="12.75" customHeight="1">
      <c r="A702" s="64"/>
    </row>
    <row r="703" ht="12.75" customHeight="1">
      <c r="A703" s="64"/>
    </row>
    <row r="704" ht="12.75" customHeight="1">
      <c r="A704" s="64"/>
    </row>
    <row r="705" ht="12.75" customHeight="1">
      <c r="A705" s="64"/>
    </row>
    <row r="706" ht="12.75" customHeight="1">
      <c r="A706" s="64"/>
    </row>
    <row r="707" ht="12.75" customHeight="1">
      <c r="A707" s="64"/>
    </row>
    <row r="708" ht="12.75" customHeight="1">
      <c r="A708" s="64"/>
    </row>
    <row r="709" ht="12.75" customHeight="1">
      <c r="A709" s="64"/>
    </row>
    <row r="710" ht="12.75" customHeight="1">
      <c r="A710" s="64"/>
    </row>
    <row r="711" ht="12.75" customHeight="1">
      <c r="A711" s="64"/>
    </row>
    <row r="712" ht="12.75" customHeight="1">
      <c r="A712" s="64"/>
    </row>
    <row r="713" ht="12.75" customHeight="1">
      <c r="A713" s="64"/>
    </row>
    <row r="714" ht="12.75" customHeight="1">
      <c r="A714" s="64"/>
    </row>
    <row r="715" ht="12.75" customHeight="1">
      <c r="A715" s="64"/>
    </row>
    <row r="716" ht="12.75" customHeight="1">
      <c r="A716" s="64"/>
    </row>
    <row r="717" ht="12.75" customHeight="1">
      <c r="A717" s="64"/>
    </row>
    <row r="718" ht="12.75" customHeight="1">
      <c r="A718" s="64"/>
    </row>
    <row r="719" ht="12.75" customHeight="1">
      <c r="A719" s="64"/>
    </row>
    <row r="720" ht="12.75" customHeight="1">
      <c r="A720" s="64"/>
    </row>
    <row r="721" ht="12.75" customHeight="1">
      <c r="A721" s="64"/>
    </row>
    <row r="722" ht="12.75" customHeight="1">
      <c r="A722" s="64"/>
    </row>
    <row r="723" ht="12.75" customHeight="1">
      <c r="A723" s="64"/>
    </row>
    <row r="724" ht="12.75" customHeight="1">
      <c r="A724" s="64"/>
    </row>
    <row r="725" ht="12.75" customHeight="1">
      <c r="A725" s="64"/>
    </row>
    <row r="726" ht="12.75" customHeight="1">
      <c r="A726" s="64"/>
    </row>
    <row r="727" ht="12.75" customHeight="1">
      <c r="A727" s="64"/>
    </row>
    <row r="728" ht="12.75" customHeight="1">
      <c r="A728" s="64"/>
    </row>
    <row r="729" ht="12.75" customHeight="1">
      <c r="A729" s="64"/>
    </row>
    <row r="730" ht="12.75" customHeight="1">
      <c r="A730" s="64"/>
    </row>
    <row r="731" ht="12.75" customHeight="1">
      <c r="A731" s="64"/>
    </row>
    <row r="732" ht="12.75" customHeight="1">
      <c r="A732" s="64"/>
    </row>
    <row r="733" ht="12.75" customHeight="1">
      <c r="A733" s="64"/>
    </row>
    <row r="734" ht="12.75" customHeight="1">
      <c r="A734" s="64"/>
    </row>
    <row r="735" ht="12.75" customHeight="1">
      <c r="A735" s="64"/>
    </row>
    <row r="736" ht="12.75" customHeight="1">
      <c r="A736" s="64"/>
    </row>
    <row r="737" ht="12.75" customHeight="1">
      <c r="A737" s="64"/>
    </row>
    <row r="738" ht="12.75" customHeight="1">
      <c r="A738" s="64"/>
    </row>
    <row r="739" ht="12.75" customHeight="1">
      <c r="A739" s="64"/>
    </row>
    <row r="740" ht="12.75" customHeight="1">
      <c r="A740" s="64"/>
    </row>
    <row r="741" ht="12.75" customHeight="1">
      <c r="A741" s="64"/>
    </row>
    <row r="742" ht="12.75" customHeight="1">
      <c r="A742" s="64"/>
    </row>
    <row r="743" ht="12.75" customHeight="1">
      <c r="A743" s="64"/>
    </row>
    <row r="744" ht="12.75" customHeight="1">
      <c r="A744" s="64"/>
    </row>
    <row r="745" ht="12.75" customHeight="1">
      <c r="A745" s="64"/>
    </row>
    <row r="746" ht="12.75" customHeight="1">
      <c r="A746" s="64"/>
    </row>
    <row r="747" ht="12.75" customHeight="1">
      <c r="A747" s="64"/>
    </row>
    <row r="748" ht="12.75" customHeight="1">
      <c r="A748" s="64"/>
    </row>
    <row r="749" ht="12.75" customHeight="1">
      <c r="A749" s="64"/>
    </row>
    <row r="750" ht="12.75" customHeight="1">
      <c r="A750" s="64"/>
    </row>
    <row r="751" ht="12.75" customHeight="1">
      <c r="A751" s="64"/>
    </row>
    <row r="752" ht="12.75" customHeight="1">
      <c r="A752" s="64"/>
    </row>
    <row r="753" ht="12.75" customHeight="1">
      <c r="A753" s="64"/>
    </row>
    <row r="754" ht="12.75" customHeight="1">
      <c r="A754" s="64"/>
    </row>
    <row r="755" ht="12.75" customHeight="1">
      <c r="A755" s="64"/>
    </row>
    <row r="756" ht="12.75" customHeight="1">
      <c r="A756" s="64"/>
    </row>
    <row r="757" ht="12.75" customHeight="1">
      <c r="A757" s="64"/>
    </row>
    <row r="758" ht="12.75" customHeight="1">
      <c r="A758" s="64"/>
    </row>
    <row r="759" ht="12.75" customHeight="1">
      <c r="A759" s="64"/>
    </row>
    <row r="760" ht="12.75" customHeight="1">
      <c r="A760" s="64"/>
    </row>
    <row r="761" ht="12.75" customHeight="1">
      <c r="A761" s="64"/>
    </row>
    <row r="762" ht="12.75" customHeight="1">
      <c r="A762" s="64"/>
    </row>
    <row r="763" ht="12.75" customHeight="1">
      <c r="A763" s="64"/>
    </row>
    <row r="764" ht="12.75" customHeight="1">
      <c r="A764" s="64"/>
    </row>
    <row r="765" ht="12.75" customHeight="1">
      <c r="A765" s="64"/>
    </row>
    <row r="766" ht="12.75" customHeight="1">
      <c r="A766" s="64"/>
    </row>
    <row r="767" ht="12.75" customHeight="1">
      <c r="A767" s="64"/>
    </row>
    <row r="768" ht="12.75" customHeight="1">
      <c r="A768" s="64"/>
    </row>
    <row r="769" ht="12.75" customHeight="1">
      <c r="A769" s="64"/>
    </row>
    <row r="770" ht="12.75" customHeight="1">
      <c r="A770" s="64"/>
    </row>
    <row r="771" ht="12.75" customHeight="1">
      <c r="A771" s="64"/>
    </row>
    <row r="772" ht="12.75" customHeight="1">
      <c r="A772" s="64"/>
    </row>
    <row r="773" ht="12.75" customHeight="1">
      <c r="A773" s="64"/>
    </row>
    <row r="774" ht="12.75" customHeight="1">
      <c r="A774" s="64"/>
    </row>
    <row r="775" ht="12.75" customHeight="1">
      <c r="A775" s="64"/>
    </row>
    <row r="776" ht="12.75" customHeight="1">
      <c r="A776" s="64"/>
    </row>
    <row r="777" ht="12.75" customHeight="1">
      <c r="A777" s="64"/>
    </row>
    <row r="778" ht="12.75" customHeight="1">
      <c r="A778" s="64"/>
    </row>
    <row r="779" ht="12.75" customHeight="1">
      <c r="A779" s="64"/>
    </row>
    <row r="780" ht="12.75" customHeight="1">
      <c r="A780" s="64"/>
    </row>
    <row r="781" ht="12.75" customHeight="1">
      <c r="A781" s="64"/>
    </row>
    <row r="782" ht="12.75" customHeight="1">
      <c r="A782" s="64"/>
    </row>
    <row r="783" ht="12.75" customHeight="1">
      <c r="A783" s="64"/>
    </row>
    <row r="784" ht="12.75" customHeight="1">
      <c r="A784" s="64"/>
    </row>
    <row r="785" ht="12.75" customHeight="1">
      <c r="A785" s="64"/>
    </row>
    <row r="786" ht="12.75" customHeight="1">
      <c r="A786" s="64"/>
    </row>
    <row r="787" ht="12.75" customHeight="1">
      <c r="A787" s="64"/>
    </row>
    <row r="788" ht="12.75" customHeight="1">
      <c r="A788" s="64"/>
    </row>
    <row r="789" ht="12.75" customHeight="1">
      <c r="A789" s="64"/>
    </row>
    <row r="790" ht="12.75" customHeight="1">
      <c r="A790" s="64"/>
    </row>
    <row r="791" ht="12.75" customHeight="1">
      <c r="A791" s="64"/>
    </row>
    <row r="792" ht="12.75" customHeight="1">
      <c r="A792" s="64"/>
    </row>
    <row r="793" ht="12.75" customHeight="1">
      <c r="A793" s="64"/>
    </row>
    <row r="794" ht="12.75" customHeight="1">
      <c r="A794" s="64"/>
    </row>
    <row r="795" ht="12.75" customHeight="1">
      <c r="A795" s="64"/>
    </row>
    <row r="796" ht="12.75" customHeight="1">
      <c r="A796" s="64"/>
    </row>
    <row r="797" ht="12.75" customHeight="1">
      <c r="A797" s="64"/>
    </row>
    <row r="798" ht="12.75" customHeight="1">
      <c r="A798" s="64"/>
    </row>
    <row r="799" ht="12.75" customHeight="1">
      <c r="A799" s="64"/>
    </row>
    <row r="800" ht="12.75" customHeight="1">
      <c r="A800" s="64"/>
    </row>
    <row r="801" ht="12.75" customHeight="1">
      <c r="A801" s="64"/>
    </row>
    <row r="802" ht="12.75" customHeight="1">
      <c r="A802" s="64"/>
    </row>
    <row r="803" ht="12.75" customHeight="1">
      <c r="A803" s="64"/>
    </row>
    <row r="804" ht="12.75" customHeight="1">
      <c r="A804" s="64"/>
    </row>
    <row r="805" ht="12.75" customHeight="1">
      <c r="A805" s="64"/>
    </row>
    <row r="806" ht="12.75" customHeight="1">
      <c r="A806" s="64"/>
    </row>
    <row r="807" ht="12.75" customHeight="1">
      <c r="A807" s="64"/>
    </row>
    <row r="808" ht="12.75" customHeight="1">
      <c r="A808" s="64"/>
    </row>
    <row r="809" ht="12.75" customHeight="1">
      <c r="A809" s="64"/>
    </row>
    <row r="810" ht="12.75" customHeight="1">
      <c r="A810" s="64"/>
    </row>
    <row r="811" ht="12.75" customHeight="1">
      <c r="A811" s="64"/>
    </row>
    <row r="812" ht="12.75" customHeight="1">
      <c r="A812" s="64"/>
    </row>
    <row r="813" ht="12.75" customHeight="1">
      <c r="A813" s="64"/>
    </row>
    <row r="814" ht="12.75" customHeight="1">
      <c r="A814" s="64"/>
    </row>
    <row r="815" ht="12.75" customHeight="1">
      <c r="A815" s="64"/>
    </row>
    <row r="816" ht="12.75" customHeight="1">
      <c r="A816" s="64"/>
    </row>
    <row r="817" ht="12.75" customHeight="1">
      <c r="A817" s="64"/>
    </row>
    <row r="818" ht="12.75" customHeight="1">
      <c r="A818" s="64"/>
    </row>
    <row r="819" ht="12.75" customHeight="1">
      <c r="A819" s="64"/>
    </row>
    <row r="820" ht="12.75" customHeight="1">
      <c r="A820" s="64"/>
    </row>
    <row r="821" ht="12.75" customHeight="1">
      <c r="A821" s="64"/>
    </row>
    <row r="822" ht="12.75" customHeight="1">
      <c r="A822" s="64"/>
    </row>
    <row r="823" ht="12.75" customHeight="1">
      <c r="A823" s="64"/>
    </row>
    <row r="824" ht="12.75" customHeight="1">
      <c r="A824" s="64"/>
    </row>
    <row r="825" ht="12.75" customHeight="1">
      <c r="A825" s="64"/>
    </row>
    <row r="826" ht="12.75" customHeight="1">
      <c r="A826" s="64"/>
    </row>
    <row r="827" ht="12.75" customHeight="1">
      <c r="A827" s="64"/>
    </row>
    <row r="828" ht="12.75" customHeight="1">
      <c r="A828" s="64"/>
    </row>
    <row r="829" ht="12.75" customHeight="1">
      <c r="A829" s="64"/>
    </row>
    <row r="830" ht="12.75" customHeight="1">
      <c r="A830" s="64"/>
    </row>
    <row r="831" ht="12.75" customHeight="1">
      <c r="A831" s="64"/>
    </row>
    <row r="832" ht="12.75" customHeight="1">
      <c r="A832" s="64"/>
    </row>
    <row r="833" ht="12.75" customHeight="1">
      <c r="A833" s="64"/>
    </row>
    <row r="834" ht="12.75" customHeight="1">
      <c r="A834" s="64"/>
    </row>
    <row r="835" ht="12.75" customHeight="1">
      <c r="A835" s="64"/>
    </row>
    <row r="836" ht="12.75" customHeight="1">
      <c r="A836" s="64"/>
    </row>
    <row r="837" ht="12.75" customHeight="1">
      <c r="A837" s="64"/>
    </row>
    <row r="838" ht="12.75" customHeight="1">
      <c r="A838" s="64"/>
    </row>
    <row r="839" ht="12.75" customHeight="1">
      <c r="A839" s="64"/>
    </row>
    <row r="840" ht="12.75" customHeight="1">
      <c r="A840" s="64"/>
    </row>
    <row r="841" ht="12.75" customHeight="1">
      <c r="A841" s="64"/>
    </row>
    <row r="842" ht="12.75" customHeight="1">
      <c r="A842" s="64"/>
    </row>
    <row r="843" ht="12.75" customHeight="1">
      <c r="A843" s="64"/>
    </row>
    <row r="844" ht="12.75" customHeight="1">
      <c r="A844" s="64"/>
    </row>
    <row r="845" ht="12.75" customHeight="1">
      <c r="A845" s="64"/>
    </row>
    <row r="846" ht="12.75" customHeight="1">
      <c r="A846" s="64"/>
    </row>
    <row r="847" ht="12.75" customHeight="1">
      <c r="A847" s="64"/>
    </row>
    <row r="848" ht="12.75" customHeight="1">
      <c r="A848" s="64"/>
    </row>
    <row r="849" ht="12.75" customHeight="1">
      <c r="A849" s="64"/>
    </row>
    <row r="850" ht="12.75" customHeight="1">
      <c r="A850" s="64"/>
    </row>
    <row r="851" ht="12.75" customHeight="1">
      <c r="A851" s="64"/>
    </row>
    <row r="852" ht="12.75" customHeight="1">
      <c r="A852" s="64"/>
    </row>
    <row r="853" ht="12.75" customHeight="1">
      <c r="A853" s="64"/>
    </row>
    <row r="854" ht="12.75" customHeight="1">
      <c r="A854" s="64"/>
    </row>
    <row r="855" ht="12.75" customHeight="1">
      <c r="A855" s="64"/>
    </row>
    <row r="856" ht="12.75" customHeight="1">
      <c r="A856" s="64"/>
    </row>
    <row r="857" ht="12.75" customHeight="1">
      <c r="A857" s="64"/>
    </row>
    <row r="858" ht="12.75" customHeight="1">
      <c r="A858" s="64"/>
    </row>
    <row r="859" ht="12.75" customHeight="1">
      <c r="A859" s="64"/>
    </row>
    <row r="860" ht="12.75" customHeight="1">
      <c r="A860" s="64"/>
    </row>
    <row r="861" ht="12.75" customHeight="1">
      <c r="A861" s="64"/>
    </row>
    <row r="862" ht="12.75" customHeight="1">
      <c r="A862" s="64"/>
    </row>
    <row r="863" ht="12.75" customHeight="1">
      <c r="A863" s="64"/>
    </row>
    <row r="864" ht="12.75" customHeight="1">
      <c r="A864" s="64"/>
    </row>
    <row r="865" ht="12.75" customHeight="1">
      <c r="A865" s="64"/>
    </row>
    <row r="866" ht="12.75" customHeight="1">
      <c r="A866" s="64"/>
    </row>
    <row r="867" ht="12.75" customHeight="1">
      <c r="A867" s="64"/>
    </row>
    <row r="868" ht="12.75" customHeight="1">
      <c r="A868" s="64"/>
    </row>
    <row r="869" ht="12.75" customHeight="1">
      <c r="A869" s="64"/>
    </row>
    <row r="870" ht="12.75" customHeight="1">
      <c r="A870" s="64"/>
    </row>
    <row r="871" ht="12.75" customHeight="1">
      <c r="A871" s="64"/>
    </row>
    <row r="872" ht="12.75" customHeight="1">
      <c r="A872" s="64"/>
    </row>
    <row r="873" ht="12.75" customHeight="1">
      <c r="A873" s="64"/>
    </row>
    <row r="874" ht="12.75" customHeight="1">
      <c r="A874" s="64"/>
    </row>
    <row r="875" ht="12.75" customHeight="1">
      <c r="A875" s="64"/>
    </row>
    <row r="876" ht="12.75" customHeight="1">
      <c r="A876" s="64"/>
    </row>
    <row r="877" ht="12.75" customHeight="1">
      <c r="A877" s="64"/>
    </row>
    <row r="878" ht="12.75" customHeight="1">
      <c r="A878" s="64"/>
    </row>
    <row r="879" ht="12.75" customHeight="1">
      <c r="A879" s="64"/>
    </row>
    <row r="880" ht="12.75" customHeight="1">
      <c r="A880" s="64"/>
    </row>
    <row r="881" ht="12.75" customHeight="1">
      <c r="A881" s="64"/>
    </row>
    <row r="882" ht="12.75" customHeight="1">
      <c r="A882" s="64"/>
    </row>
    <row r="883" ht="12.75" customHeight="1">
      <c r="A883" s="64"/>
    </row>
    <row r="884" ht="12.75" customHeight="1">
      <c r="A884" s="64"/>
    </row>
    <row r="885" ht="12.75" customHeight="1">
      <c r="A885" s="64"/>
    </row>
    <row r="886" ht="12.75" customHeight="1">
      <c r="A886" s="64"/>
    </row>
    <row r="887" ht="12.75" customHeight="1">
      <c r="A887" s="64"/>
    </row>
    <row r="888" ht="12.75" customHeight="1">
      <c r="A888" s="64"/>
    </row>
    <row r="889" ht="12.75" customHeight="1">
      <c r="A889" s="64"/>
    </row>
    <row r="890" ht="12.75" customHeight="1">
      <c r="A890" s="64"/>
    </row>
    <row r="891" ht="12.75" customHeight="1">
      <c r="A891" s="64"/>
    </row>
    <row r="892" ht="12.75" customHeight="1">
      <c r="A892" s="64"/>
    </row>
    <row r="893" ht="12.75" customHeight="1">
      <c r="A893" s="64"/>
    </row>
    <row r="894" ht="12.75" customHeight="1">
      <c r="A894" s="64"/>
    </row>
    <row r="895" ht="12.75" customHeight="1">
      <c r="A895" s="64"/>
    </row>
    <row r="896" ht="12.75" customHeight="1">
      <c r="A896" s="64"/>
    </row>
    <row r="897" ht="12.75" customHeight="1">
      <c r="A897" s="64"/>
    </row>
    <row r="898" ht="12.75" customHeight="1">
      <c r="A898" s="64"/>
    </row>
    <row r="899" ht="12.75" customHeight="1">
      <c r="A899" s="64"/>
    </row>
    <row r="900" ht="12.75" customHeight="1">
      <c r="A900" s="64"/>
    </row>
    <row r="901" ht="12.75" customHeight="1">
      <c r="A901" s="64"/>
    </row>
    <row r="902" ht="12.75" customHeight="1">
      <c r="A902" s="64"/>
    </row>
    <row r="903" ht="12.75" customHeight="1">
      <c r="A903" s="64"/>
    </row>
    <row r="904" ht="12.75" customHeight="1">
      <c r="A904" s="64"/>
    </row>
    <row r="905" ht="12.75" customHeight="1">
      <c r="A905" s="64"/>
    </row>
    <row r="906" ht="12.75" customHeight="1">
      <c r="A906" s="64"/>
    </row>
    <row r="907" ht="12.75" customHeight="1">
      <c r="A907" s="64"/>
    </row>
    <row r="908" ht="12.75" customHeight="1">
      <c r="A908" s="64"/>
    </row>
    <row r="909" ht="12.75" customHeight="1">
      <c r="A909" s="64"/>
    </row>
    <row r="910" ht="12.75" customHeight="1">
      <c r="A910" s="64"/>
    </row>
    <row r="911" ht="12.75" customHeight="1">
      <c r="A911" s="64"/>
    </row>
    <row r="912" ht="12.75" customHeight="1">
      <c r="A912" s="64"/>
    </row>
    <row r="913" ht="12.75" customHeight="1">
      <c r="A913" s="64"/>
    </row>
    <row r="914" ht="12.75" customHeight="1">
      <c r="A914" s="64"/>
    </row>
    <row r="915" ht="12.75" customHeight="1">
      <c r="A915" s="64"/>
    </row>
    <row r="916" ht="12.75" customHeight="1">
      <c r="A916" s="64"/>
    </row>
    <row r="917" ht="12.75" customHeight="1">
      <c r="A917" s="64"/>
    </row>
    <row r="918" ht="12.75" customHeight="1">
      <c r="A918" s="64"/>
    </row>
    <row r="919" ht="12.75" customHeight="1">
      <c r="A919" s="64"/>
    </row>
    <row r="920" ht="12.75" customHeight="1">
      <c r="A920" s="64"/>
    </row>
    <row r="921" ht="12.75" customHeight="1">
      <c r="A921" s="64"/>
    </row>
    <row r="922" ht="12.75" customHeight="1">
      <c r="A922" s="64"/>
    </row>
    <row r="923" ht="12.75" customHeight="1">
      <c r="A923" s="64"/>
    </row>
    <row r="924" ht="12.75" customHeight="1">
      <c r="A924" s="64"/>
    </row>
    <row r="925" ht="12.75" customHeight="1">
      <c r="A925" s="64"/>
    </row>
    <row r="926" ht="12.75" customHeight="1">
      <c r="A926" s="64"/>
    </row>
    <row r="927" ht="12.75" customHeight="1">
      <c r="A927" s="64"/>
    </row>
    <row r="928" ht="12.75" customHeight="1">
      <c r="A928" s="64"/>
    </row>
    <row r="929" ht="12.75" customHeight="1">
      <c r="A929" s="64"/>
    </row>
    <row r="930" ht="12.75" customHeight="1">
      <c r="A930" s="64"/>
    </row>
    <row r="931" ht="12.75" customHeight="1">
      <c r="A931" s="64"/>
    </row>
    <row r="932" ht="12.75" customHeight="1">
      <c r="A932" s="64"/>
    </row>
    <row r="933" ht="12.75" customHeight="1">
      <c r="A933" s="64"/>
    </row>
    <row r="934" ht="12.75" customHeight="1">
      <c r="A934" s="64"/>
    </row>
    <row r="935" ht="12.75" customHeight="1">
      <c r="A935" s="64"/>
    </row>
    <row r="936" ht="12.75" customHeight="1">
      <c r="A936" s="64"/>
    </row>
    <row r="937" ht="12.75" customHeight="1">
      <c r="A937" s="64"/>
    </row>
    <row r="938" ht="12.75" customHeight="1">
      <c r="A938" s="64"/>
    </row>
    <row r="939" ht="12.75" customHeight="1">
      <c r="A939" s="64"/>
    </row>
    <row r="940" ht="12.75" customHeight="1">
      <c r="A940" s="64"/>
    </row>
    <row r="941" ht="12.75" customHeight="1">
      <c r="A941" s="64"/>
    </row>
    <row r="942" ht="12.75" customHeight="1">
      <c r="A942" s="64"/>
    </row>
    <row r="943" ht="12.75" customHeight="1">
      <c r="A943" s="64"/>
    </row>
    <row r="944" ht="12.75" customHeight="1">
      <c r="A944" s="64"/>
    </row>
    <row r="945" ht="12.75" customHeight="1">
      <c r="A945" s="64"/>
    </row>
    <row r="946" ht="12.75" customHeight="1">
      <c r="A946" s="64"/>
    </row>
    <row r="947" ht="12.75" customHeight="1">
      <c r="A947" s="64"/>
    </row>
    <row r="948" ht="12.75" customHeight="1">
      <c r="A948" s="64"/>
    </row>
    <row r="949" ht="12.75" customHeight="1">
      <c r="A949" s="64"/>
    </row>
    <row r="950" ht="12.75" customHeight="1">
      <c r="A950" s="64"/>
    </row>
    <row r="951" ht="12.75" customHeight="1">
      <c r="A951" s="64"/>
    </row>
    <row r="952" ht="12.75" customHeight="1">
      <c r="A952" s="64"/>
    </row>
    <row r="953" ht="12.75" customHeight="1">
      <c r="A953" s="64"/>
    </row>
    <row r="954" ht="12.75" customHeight="1">
      <c r="A954" s="64"/>
    </row>
    <row r="955" ht="12.75" customHeight="1">
      <c r="A955" s="64"/>
    </row>
    <row r="956" ht="12.75" customHeight="1">
      <c r="A956" s="64"/>
    </row>
    <row r="957" ht="12.75" customHeight="1">
      <c r="A957" s="64"/>
    </row>
    <row r="958" ht="12.75" customHeight="1">
      <c r="A958" s="64"/>
    </row>
    <row r="959" ht="12.75" customHeight="1">
      <c r="A959" s="64"/>
    </row>
    <row r="960" ht="12.75" customHeight="1">
      <c r="A960" s="64"/>
    </row>
    <row r="961" ht="12.75" customHeight="1">
      <c r="A961" s="64"/>
    </row>
    <row r="962" ht="12.75" customHeight="1">
      <c r="A962" s="64"/>
    </row>
    <row r="963" ht="12.75" customHeight="1">
      <c r="A963" s="64"/>
    </row>
    <row r="964" ht="12.75" customHeight="1">
      <c r="A964" s="64"/>
    </row>
    <row r="965" ht="12.75" customHeight="1">
      <c r="A965" s="64"/>
    </row>
    <row r="966" ht="12.75" customHeight="1">
      <c r="A966" s="64"/>
    </row>
    <row r="967" ht="12.75" customHeight="1">
      <c r="A967" s="64"/>
    </row>
    <row r="968" ht="12.75" customHeight="1">
      <c r="A968" s="64"/>
    </row>
    <row r="969" ht="12.75" customHeight="1">
      <c r="A969" s="64"/>
    </row>
    <row r="970" ht="12.75" customHeight="1">
      <c r="A970" s="64"/>
    </row>
    <row r="971" ht="12.75" customHeight="1">
      <c r="A971" s="64"/>
    </row>
    <row r="972" ht="12.75" customHeight="1">
      <c r="A972" s="64"/>
    </row>
    <row r="973" ht="12.75" customHeight="1">
      <c r="A973" s="64"/>
    </row>
    <row r="974" ht="12.75" customHeight="1">
      <c r="A974" s="64"/>
    </row>
    <row r="975" ht="12.75" customHeight="1">
      <c r="A975" s="64"/>
    </row>
    <row r="976" ht="12.75" customHeight="1">
      <c r="A976" s="64"/>
    </row>
    <row r="977" ht="12.75" customHeight="1">
      <c r="A977" s="64"/>
    </row>
    <row r="978" ht="12.75" customHeight="1">
      <c r="A978" s="64"/>
    </row>
    <row r="979" ht="12.75" customHeight="1">
      <c r="A979" s="64"/>
    </row>
    <row r="980" ht="12.75" customHeight="1">
      <c r="A980" s="64"/>
    </row>
    <row r="981" ht="12.75" customHeight="1">
      <c r="A981" s="64"/>
    </row>
    <row r="982" ht="12.75" customHeight="1">
      <c r="A982" s="64"/>
    </row>
    <row r="983" ht="12.75" customHeight="1">
      <c r="A983" s="64"/>
    </row>
    <row r="984" ht="12.75" customHeight="1">
      <c r="A984" s="64"/>
    </row>
    <row r="985" ht="12.75" customHeight="1">
      <c r="A985" s="64"/>
    </row>
    <row r="986" ht="12.75" customHeight="1">
      <c r="A986" s="64"/>
    </row>
    <row r="987" ht="12.75" customHeight="1">
      <c r="A987" s="64"/>
    </row>
    <row r="988" ht="12.75" customHeight="1">
      <c r="A988" s="64"/>
    </row>
    <row r="989" ht="12.75" customHeight="1">
      <c r="A989" s="64"/>
    </row>
    <row r="990" ht="12.75" customHeight="1">
      <c r="A990" s="64"/>
    </row>
    <row r="991" ht="12.75" customHeight="1">
      <c r="A991" s="64"/>
    </row>
    <row r="992" ht="12.75" customHeight="1">
      <c r="A992" s="64"/>
    </row>
    <row r="993" ht="12.75" customHeight="1">
      <c r="A993" s="64"/>
    </row>
    <row r="994" ht="12.75" customHeight="1">
      <c r="A994" s="64"/>
    </row>
    <row r="995" ht="12.75" customHeight="1">
      <c r="A995" s="64"/>
    </row>
    <row r="996" ht="12.75" customHeight="1">
      <c r="A996" s="64"/>
    </row>
    <row r="997" ht="12.75" customHeight="1">
      <c r="A997" s="64"/>
    </row>
    <row r="998" ht="12.75" customHeight="1">
      <c r="A998" s="64"/>
    </row>
    <row r="999" ht="12.75" customHeight="1">
      <c r="A999" s="64"/>
    </row>
  </sheetData>
  <printOptions/>
  <pageMargins bottom="1.0" footer="0.0" header="0.0" left="0.75" right="0.75" top="1.0"/>
  <pageSetup paperSize="9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5.38"/>
    <col customWidth="1" min="2" max="2" width="50.75"/>
    <col customWidth="1" hidden="1" min="3" max="3" width="14.13"/>
    <col customWidth="1" hidden="1" min="4" max="4" width="12.13"/>
    <col customWidth="1" hidden="1" min="5" max="5" width="14.13"/>
    <col customWidth="1" hidden="1" min="6" max="7" width="10.63"/>
    <col customWidth="1" hidden="1" min="8" max="8" width="9.88"/>
    <col customWidth="1" hidden="1" min="9" max="9" width="11.88"/>
    <col customWidth="1" hidden="1" min="10" max="10" width="14.0"/>
    <col customWidth="1" hidden="1" min="11" max="11" width="16.13"/>
    <col customWidth="1" min="12" max="12" width="13.63"/>
    <col customWidth="1" min="13" max="13" width="25.38"/>
    <col customWidth="1" min="14" max="26" width="9.13"/>
  </cols>
  <sheetData>
    <row r="1" ht="12.75" customHeight="1">
      <c r="A1" s="46" t="s">
        <v>107</v>
      </c>
      <c r="B1" s="78" t="s">
        <v>126</v>
      </c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 ht="12.75" customHeight="1">
      <c r="A2" s="48" t="s">
        <v>28</v>
      </c>
      <c r="B2" s="19"/>
      <c r="C2" s="19"/>
      <c r="D2" s="19"/>
      <c r="E2" s="19"/>
      <c r="F2" s="20"/>
      <c r="K2" s="19"/>
    </row>
    <row r="3" ht="12.75" customHeight="1">
      <c r="A3" s="48" t="s">
        <v>29</v>
      </c>
      <c r="B3" s="19"/>
      <c r="K3" s="19"/>
    </row>
    <row r="4" ht="12.75" customHeight="1">
      <c r="A4" s="68" t="s">
        <v>30</v>
      </c>
      <c r="B4" s="21" t="s">
        <v>3</v>
      </c>
      <c r="C4" s="21" t="s">
        <v>4</v>
      </c>
      <c r="D4" s="21" t="s">
        <v>5</v>
      </c>
      <c r="E4" s="22">
        <v>1.0</v>
      </c>
      <c r="F4" s="22">
        <v>2.0</v>
      </c>
      <c r="G4" s="22">
        <v>3.0</v>
      </c>
      <c r="H4" s="22">
        <v>4.0</v>
      </c>
      <c r="I4" s="22">
        <v>5.0</v>
      </c>
      <c r="J4" s="22" t="s">
        <v>31</v>
      </c>
      <c r="K4" s="22" t="s">
        <v>33</v>
      </c>
      <c r="L4" s="22" t="s">
        <v>34</v>
      </c>
      <c r="M4" s="24" t="s">
        <v>35</v>
      </c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 ht="12.75" customHeight="1">
      <c r="A5" s="71">
        <v>1.0</v>
      </c>
      <c r="B5" s="27" t="s">
        <v>79</v>
      </c>
      <c r="C5" s="28"/>
      <c r="D5" s="28"/>
      <c r="E5" s="34">
        <v>25.98</v>
      </c>
      <c r="F5" s="34">
        <v>34.6</v>
      </c>
      <c r="G5" s="34">
        <v>26.47</v>
      </c>
      <c r="H5" s="34">
        <v>26.67</v>
      </c>
      <c r="I5" s="34">
        <v>24.68</v>
      </c>
      <c r="J5" s="35">
        <f t="shared" ref="J5:J98" si="1">IF(MIN(E5:I5)&gt;0,MIN(E5:I5),IF(COUNTBLANK(E5:I5)=5,"","DNF"))</f>
        <v>24.68</v>
      </c>
      <c r="K5" s="35">
        <f t="shared" ref="K5:K98" si="2">IF(COUNTBLANK(E5:I5)&gt;0,"",IF(COUNTIF(E5:I5,"DNF")+COUNTIF(E5:I5,"DNS")&gt;0,"DNF",MAX(E5:I5)))</f>
        <v>34.6</v>
      </c>
      <c r="L5" s="35">
        <f t="shared" ref="L5:L32" si="3">IF(COUNTBLANK(E5:I5)&gt;0,"",IF(COUNTIF(E5:I5,"DNF")+COUNTIF(E5:I5,"DNS")&gt;1,"DNF",ROUND(IF(COUNTIF(E5:I5,"DNF")+COUNTIF(E5:I5,"DNS")&gt;0,(SUM(E5:I5)-J5)/3,(SUM(E5:I5)-J5-K5)/3),2)))</f>
        <v>26.37</v>
      </c>
      <c r="M5" s="31">
        <f t="shared" ref="M5:M98" si="4">L5/86400</f>
        <v>0.0003052083333</v>
      </c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</row>
    <row r="6" ht="12.75" customHeight="1">
      <c r="A6" s="71">
        <v>2.0</v>
      </c>
      <c r="B6" s="27" t="s">
        <v>109</v>
      </c>
      <c r="C6" s="33"/>
      <c r="D6" s="33"/>
      <c r="E6" s="34">
        <v>26.11</v>
      </c>
      <c r="F6" s="34">
        <v>28.11</v>
      </c>
      <c r="G6" s="34">
        <v>27.77</v>
      </c>
      <c r="H6" s="34">
        <v>29.87</v>
      </c>
      <c r="I6" s="34">
        <v>37.38</v>
      </c>
      <c r="J6" s="35">
        <f t="shared" si="1"/>
        <v>26.11</v>
      </c>
      <c r="K6" s="35">
        <f t="shared" si="2"/>
        <v>37.38</v>
      </c>
      <c r="L6" s="35">
        <f t="shared" si="3"/>
        <v>28.58</v>
      </c>
      <c r="M6" s="31">
        <f t="shared" si="4"/>
        <v>0.000330787037</v>
      </c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</row>
    <row r="7" ht="12.75" customHeight="1">
      <c r="A7" s="71">
        <v>3.0</v>
      </c>
      <c r="B7" s="27" t="s">
        <v>108</v>
      </c>
      <c r="C7" s="28"/>
      <c r="D7" s="28"/>
      <c r="E7" s="29">
        <v>26.82</v>
      </c>
      <c r="F7" s="29">
        <v>27.32</v>
      </c>
      <c r="G7" s="29">
        <v>34.73</v>
      </c>
      <c r="H7" s="29">
        <v>25.16</v>
      </c>
      <c r="I7" s="29">
        <v>32.42</v>
      </c>
      <c r="J7" s="30">
        <f t="shared" si="1"/>
        <v>25.16</v>
      </c>
      <c r="K7" s="30">
        <f t="shared" si="2"/>
        <v>34.73</v>
      </c>
      <c r="L7" s="30">
        <f t="shared" si="3"/>
        <v>28.85</v>
      </c>
      <c r="M7" s="31">
        <f t="shared" si="4"/>
        <v>0.000333912037</v>
      </c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</row>
    <row r="8" ht="12.75" customHeight="1">
      <c r="A8" s="71">
        <v>4.0</v>
      </c>
      <c r="B8" s="27" t="s">
        <v>83</v>
      </c>
      <c r="C8" s="28"/>
      <c r="D8" s="28"/>
      <c r="E8" s="29">
        <v>34.82</v>
      </c>
      <c r="F8" s="29">
        <v>25.12</v>
      </c>
      <c r="G8" s="29">
        <v>25.26</v>
      </c>
      <c r="H8" s="29">
        <v>30.25</v>
      </c>
      <c r="I8" s="29">
        <v>32.58</v>
      </c>
      <c r="J8" s="30">
        <f t="shared" si="1"/>
        <v>25.12</v>
      </c>
      <c r="K8" s="30">
        <f t="shared" si="2"/>
        <v>34.82</v>
      </c>
      <c r="L8" s="30">
        <f t="shared" si="3"/>
        <v>29.36</v>
      </c>
      <c r="M8" s="31">
        <f t="shared" si="4"/>
        <v>0.0003398148148</v>
      </c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</row>
    <row r="9" ht="12.75" customHeight="1">
      <c r="A9" s="71">
        <v>5.0</v>
      </c>
      <c r="B9" s="27" t="s">
        <v>110</v>
      </c>
      <c r="C9" s="33"/>
      <c r="D9" s="33"/>
      <c r="E9" s="34">
        <v>30.44</v>
      </c>
      <c r="F9" s="34">
        <v>23.16</v>
      </c>
      <c r="G9" s="34">
        <v>28.37</v>
      </c>
      <c r="H9" s="34">
        <v>30.63</v>
      </c>
      <c r="I9" s="34">
        <v>32.83</v>
      </c>
      <c r="J9" s="35">
        <f t="shared" si="1"/>
        <v>23.16</v>
      </c>
      <c r="K9" s="35">
        <f t="shared" si="2"/>
        <v>32.83</v>
      </c>
      <c r="L9" s="35">
        <f t="shared" si="3"/>
        <v>29.81</v>
      </c>
      <c r="M9" s="31">
        <f t="shared" si="4"/>
        <v>0.0003450231481</v>
      </c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 ht="12.75" customHeight="1">
      <c r="A10" s="71">
        <v>6.0</v>
      </c>
      <c r="B10" s="27" t="s">
        <v>113</v>
      </c>
      <c r="C10" s="33"/>
      <c r="D10" s="33"/>
      <c r="E10" s="34">
        <v>44.25</v>
      </c>
      <c r="F10" s="34">
        <v>29.04</v>
      </c>
      <c r="G10" s="34">
        <v>33.84</v>
      </c>
      <c r="H10" s="34">
        <v>33.84</v>
      </c>
      <c r="I10" s="34">
        <v>28.84</v>
      </c>
      <c r="J10" s="35">
        <f t="shared" si="1"/>
        <v>28.84</v>
      </c>
      <c r="K10" s="35">
        <f t="shared" si="2"/>
        <v>44.25</v>
      </c>
      <c r="L10" s="35">
        <f t="shared" si="3"/>
        <v>32.24</v>
      </c>
      <c r="M10" s="31">
        <f t="shared" si="4"/>
        <v>0.0003731481481</v>
      </c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 ht="12.75" customHeight="1">
      <c r="A11" s="71">
        <v>7.0</v>
      </c>
      <c r="B11" s="27" t="s">
        <v>81</v>
      </c>
      <c r="C11" s="28"/>
      <c r="D11" s="28"/>
      <c r="E11" s="34">
        <v>31.27</v>
      </c>
      <c r="F11" s="34">
        <v>37.32</v>
      </c>
      <c r="G11" s="34">
        <v>35.57</v>
      </c>
      <c r="H11" s="34">
        <v>30.12</v>
      </c>
      <c r="I11" s="34">
        <v>30.03</v>
      </c>
      <c r="J11" s="35">
        <f t="shared" si="1"/>
        <v>30.03</v>
      </c>
      <c r="K11" s="35">
        <f t="shared" si="2"/>
        <v>37.32</v>
      </c>
      <c r="L11" s="35">
        <f t="shared" si="3"/>
        <v>32.32</v>
      </c>
      <c r="M11" s="31">
        <f t="shared" si="4"/>
        <v>0.0003740740741</v>
      </c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 ht="12.75" customHeight="1">
      <c r="A12" s="71">
        <v>8.0</v>
      </c>
      <c r="B12" s="27" t="s">
        <v>111</v>
      </c>
      <c r="C12" s="28"/>
      <c r="D12" s="28"/>
      <c r="E12" s="34">
        <v>29.12</v>
      </c>
      <c r="F12" s="34">
        <v>30.38</v>
      </c>
      <c r="G12" s="34">
        <v>38.2</v>
      </c>
      <c r="H12" s="34">
        <v>54.81</v>
      </c>
      <c r="I12" s="34">
        <v>29.53</v>
      </c>
      <c r="J12" s="35">
        <f t="shared" si="1"/>
        <v>29.12</v>
      </c>
      <c r="K12" s="35">
        <f t="shared" si="2"/>
        <v>54.81</v>
      </c>
      <c r="L12" s="35">
        <f t="shared" si="3"/>
        <v>32.7</v>
      </c>
      <c r="M12" s="31">
        <f t="shared" si="4"/>
        <v>0.0003784722222</v>
      </c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 ht="12.75" customHeight="1">
      <c r="A13" s="71">
        <v>9.0</v>
      </c>
      <c r="B13" s="27" t="s">
        <v>112</v>
      </c>
      <c r="C13" s="32"/>
      <c r="D13" s="32"/>
      <c r="E13" s="34">
        <v>33.54</v>
      </c>
      <c r="F13" s="34">
        <v>35.01</v>
      </c>
      <c r="G13" s="34">
        <v>46.42</v>
      </c>
      <c r="H13" s="34">
        <v>25.47</v>
      </c>
      <c r="I13" s="34">
        <v>34.96</v>
      </c>
      <c r="J13" s="35">
        <f t="shared" si="1"/>
        <v>25.47</v>
      </c>
      <c r="K13" s="35">
        <f t="shared" si="2"/>
        <v>46.42</v>
      </c>
      <c r="L13" s="35">
        <f t="shared" si="3"/>
        <v>34.5</v>
      </c>
      <c r="M13" s="31">
        <f t="shared" si="4"/>
        <v>0.0003993055556</v>
      </c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 ht="12.75" customHeight="1">
      <c r="A14" s="71">
        <v>10.0</v>
      </c>
      <c r="B14" s="27" t="s">
        <v>114</v>
      </c>
      <c r="C14" s="28"/>
      <c r="D14" s="28"/>
      <c r="E14" s="29">
        <v>33.43</v>
      </c>
      <c r="F14" s="29">
        <v>37.84</v>
      </c>
      <c r="G14" s="29">
        <v>34.79</v>
      </c>
      <c r="H14" s="29">
        <v>40.46</v>
      </c>
      <c r="I14" s="29">
        <v>30.75</v>
      </c>
      <c r="J14" s="30">
        <f t="shared" si="1"/>
        <v>30.75</v>
      </c>
      <c r="K14" s="30">
        <f t="shared" si="2"/>
        <v>40.46</v>
      </c>
      <c r="L14" s="30">
        <f t="shared" si="3"/>
        <v>35.35</v>
      </c>
      <c r="M14" s="31">
        <f t="shared" si="4"/>
        <v>0.0004091435185</v>
      </c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ht="12.75" customHeight="1">
      <c r="A15" s="71">
        <v>11.0</v>
      </c>
      <c r="B15" s="27" t="s">
        <v>115</v>
      </c>
      <c r="C15" s="32"/>
      <c r="D15" s="32"/>
      <c r="E15" s="34">
        <v>38.77</v>
      </c>
      <c r="F15" s="34">
        <v>35.83</v>
      </c>
      <c r="G15" s="34">
        <v>33.16</v>
      </c>
      <c r="H15" s="34">
        <v>38.32</v>
      </c>
      <c r="I15" s="34">
        <v>30.4</v>
      </c>
      <c r="J15" s="35">
        <f t="shared" si="1"/>
        <v>30.4</v>
      </c>
      <c r="K15" s="35">
        <f t="shared" si="2"/>
        <v>38.77</v>
      </c>
      <c r="L15" s="35">
        <f t="shared" si="3"/>
        <v>35.77</v>
      </c>
      <c r="M15" s="31">
        <f t="shared" si="4"/>
        <v>0.0004140046296</v>
      </c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ht="12.75" customHeight="1">
      <c r="A16" s="71">
        <v>12.0</v>
      </c>
      <c r="B16" s="27" t="s">
        <v>116</v>
      </c>
      <c r="C16" s="33"/>
      <c r="D16" s="33"/>
      <c r="E16" s="34">
        <v>41.62</v>
      </c>
      <c r="F16" s="34">
        <v>36.4</v>
      </c>
      <c r="G16" s="34">
        <v>37.36</v>
      </c>
      <c r="H16" s="34">
        <v>45.54</v>
      </c>
      <c r="I16" s="34">
        <v>36.8</v>
      </c>
      <c r="J16" s="35">
        <f t="shared" si="1"/>
        <v>36.4</v>
      </c>
      <c r="K16" s="35">
        <f t="shared" si="2"/>
        <v>45.54</v>
      </c>
      <c r="L16" s="35">
        <f t="shared" si="3"/>
        <v>38.59</v>
      </c>
      <c r="M16" s="31">
        <f t="shared" si="4"/>
        <v>0.0004466435185</v>
      </c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 ht="12.75" customHeight="1">
      <c r="A17" s="71">
        <v>13.0</v>
      </c>
      <c r="B17" s="27"/>
      <c r="C17" s="28"/>
      <c r="D17" s="28"/>
      <c r="E17" s="29"/>
      <c r="F17" s="29"/>
      <c r="G17" s="29"/>
      <c r="H17" s="29"/>
      <c r="I17" s="29"/>
      <c r="J17" s="30" t="str">
        <f t="shared" si="1"/>
        <v/>
      </c>
      <c r="K17" s="30" t="str">
        <f t="shared" si="2"/>
        <v/>
      </c>
      <c r="L17" s="30" t="str">
        <f t="shared" si="3"/>
        <v/>
      </c>
      <c r="M17" s="31">
        <f t="shared" si="4"/>
        <v>0</v>
      </c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 ht="12.75" customHeight="1">
      <c r="A18" s="71">
        <v>14.0</v>
      </c>
      <c r="B18" s="27"/>
      <c r="C18" s="28"/>
      <c r="D18" s="28"/>
      <c r="E18" s="29"/>
      <c r="F18" s="29"/>
      <c r="G18" s="29"/>
      <c r="H18" s="29"/>
      <c r="I18" s="29"/>
      <c r="J18" s="30" t="str">
        <f t="shared" si="1"/>
        <v/>
      </c>
      <c r="K18" s="30" t="str">
        <f t="shared" si="2"/>
        <v/>
      </c>
      <c r="L18" s="30" t="str">
        <f t="shared" si="3"/>
        <v/>
      </c>
      <c r="M18" s="31">
        <f t="shared" si="4"/>
        <v>0</v>
      </c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 ht="12.75" customHeight="1">
      <c r="A19" s="71">
        <v>15.0</v>
      </c>
      <c r="B19" s="27"/>
      <c r="C19" s="33"/>
      <c r="D19" s="33"/>
      <c r="E19" s="34"/>
      <c r="F19" s="34"/>
      <c r="G19" s="34"/>
      <c r="H19" s="34"/>
      <c r="I19" s="34"/>
      <c r="J19" s="35" t="str">
        <f t="shared" si="1"/>
        <v/>
      </c>
      <c r="K19" s="35" t="str">
        <f t="shared" si="2"/>
        <v/>
      </c>
      <c r="L19" s="35" t="str">
        <f t="shared" si="3"/>
        <v/>
      </c>
      <c r="M19" s="31">
        <f t="shared" si="4"/>
        <v>0</v>
      </c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 ht="12.75" customHeight="1">
      <c r="A20" s="71">
        <v>16.0</v>
      </c>
      <c r="B20" s="27"/>
      <c r="C20" s="33"/>
      <c r="D20" s="33"/>
      <c r="E20" s="34"/>
      <c r="F20" s="34"/>
      <c r="G20" s="34"/>
      <c r="H20" s="34"/>
      <c r="I20" s="34"/>
      <c r="J20" s="35" t="str">
        <f t="shared" si="1"/>
        <v/>
      </c>
      <c r="K20" s="35" t="str">
        <f t="shared" si="2"/>
        <v/>
      </c>
      <c r="L20" s="35" t="str">
        <f t="shared" si="3"/>
        <v/>
      </c>
      <c r="M20" s="31">
        <f t="shared" si="4"/>
        <v>0</v>
      </c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 ht="12.75" customHeight="1">
      <c r="A21" s="71">
        <v>17.0</v>
      </c>
      <c r="B21" s="27"/>
      <c r="C21" s="70"/>
      <c r="D21" s="70"/>
      <c r="E21" s="34"/>
      <c r="F21" s="34"/>
      <c r="G21" s="34"/>
      <c r="H21" s="34"/>
      <c r="I21" s="34"/>
      <c r="J21" s="35" t="str">
        <f t="shared" si="1"/>
        <v/>
      </c>
      <c r="K21" s="35" t="str">
        <f t="shared" si="2"/>
        <v/>
      </c>
      <c r="L21" s="35" t="str">
        <f t="shared" si="3"/>
        <v/>
      </c>
      <c r="M21" s="31">
        <f t="shared" si="4"/>
        <v>0</v>
      </c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 ht="12.75" customHeight="1">
      <c r="A22" s="71">
        <v>18.0</v>
      </c>
      <c r="B22" s="27"/>
      <c r="C22" s="33"/>
      <c r="D22" s="33"/>
      <c r="E22" s="34"/>
      <c r="F22" s="34"/>
      <c r="G22" s="34"/>
      <c r="H22" s="34"/>
      <c r="I22" s="34"/>
      <c r="J22" s="35" t="str">
        <f t="shared" si="1"/>
        <v/>
      </c>
      <c r="K22" s="35" t="str">
        <f t="shared" si="2"/>
        <v/>
      </c>
      <c r="L22" s="35" t="str">
        <f t="shared" si="3"/>
        <v/>
      </c>
      <c r="M22" s="31">
        <f t="shared" si="4"/>
        <v>0</v>
      </c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 ht="12.75" customHeight="1">
      <c r="A23" s="71">
        <v>19.0</v>
      </c>
      <c r="B23" s="27"/>
      <c r="C23" s="33"/>
      <c r="D23" s="33"/>
      <c r="E23" s="34"/>
      <c r="F23" s="34"/>
      <c r="G23" s="34"/>
      <c r="H23" s="34"/>
      <c r="I23" s="34"/>
      <c r="J23" s="35" t="str">
        <f t="shared" si="1"/>
        <v/>
      </c>
      <c r="K23" s="35" t="str">
        <f t="shared" si="2"/>
        <v/>
      </c>
      <c r="L23" s="35" t="str">
        <f t="shared" si="3"/>
        <v/>
      </c>
      <c r="M23" s="31">
        <f t="shared" si="4"/>
        <v>0</v>
      </c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 ht="12.75" customHeight="1">
      <c r="A24" s="71">
        <v>20.0</v>
      </c>
      <c r="B24" s="27"/>
      <c r="C24" s="33"/>
      <c r="D24" s="33"/>
      <c r="E24" s="34"/>
      <c r="F24" s="34"/>
      <c r="G24" s="34"/>
      <c r="H24" s="34"/>
      <c r="I24" s="34"/>
      <c r="J24" s="35" t="str">
        <f t="shared" si="1"/>
        <v/>
      </c>
      <c r="K24" s="35" t="str">
        <f t="shared" si="2"/>
        <v/>
      </c>
      <c r="L24" s="35" t="str">
        <f t="shared" si="3"/>
        <v/>
      </c>
      <c r="M24" s="31">
        <f t="shared" si="4"/>
        <v>0</v>
      </c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 ht="12.75" customHeight="1">
      <c r="A25" s="71">
        <v>21.0</v>
      </c>
      <c r="B25" s="27"/>
      <c r="C25" s="33"/>
      <c r="D25" s="33"/>
      <c r="E25" s="34"/>
      <c r="F25" s="34"/>
      <c r="G25" s="34"/>
      <c r="H25" s="34"/>
      <c r="I25" s="34"/>
      <c r="J25" s="35" t="str">
        <f t="shared" si="1"/>
        <v/>
      </c>
      <c r="K25" s="35" t="str">
        <f t="shared" si="2"/>
        <v/>
      </c>
      <c r="L25" s="35" t="str">
        <f t="shared" si="3"/>
        <v/>
      </c>
      <c r="M25" s="31">
        <f t="shared" si="4"/>
        <v>0</v>
      </c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 ht="12.75" customHeight="1">
      <c r="A26" s="71">
        <v>22.0</v>
      </c>
      <c r="B26" s="27"/>
      <c r="C26" s="32"/>
      <c r="D26" s="32"/>
      <c r="E26" s="34"/>
      <c r="F26" s="34"/>
      <c r="G26" s="34"/>
      <c r="H26" s="34"/>
      <c r="I26" s="34"/>
      <c r="J26" s="35" t="str">
        <f t="shared" si="1"/>
        <v/>
      </c>
      <c r="K26" s="35" t="str">
        <f t="shared" si="2"/>
        <v/>
      </c>
      <c r="L26" s="35" t="str">
        <f t="shared" si="3"/>
        <v/>
      </c>
      <c r="M26" s="31">
        <f t="shared" si="4"/>
        <v>0</v>
      </c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 ht="12.75" customHeight="1">
      <c r="A27" s="71">
        <v>23.0</v>
      </c>
      <c r="B27" s="27"/>
      <c r="C27" s="72"/>
      <c r="D27" s="72"/>
      <c r="E27" s="29"/>
      <c r="F27" s="29"/>
      <c r="G27" s="29"/>
      <c r="H27" s="29"/>
      <c r="I27" s="29"/>
      <c r="J27" s="30" t="str">
        <f t="shared" si="1"/>
        <v/>
      </c>
      <c r="K27" s="30" t="str">
        <f t="shared" si="2"/>
        <v/>
      </c>
      <c r="L27" s="30" t="str">
        <f t="shared" si="3"/>
        <v/>
      </c>
      <c r="M27" s="31">
        <f t="shared" si="4"/>
        <v>0</v>
      </c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 ht="12.75" customHeight="1">
      <c r="A28" s="71">
        <v>24.0</v>
      </c>
      <c r="B28" s="27"/>
      <c r="C28" s="75"/>
      <c r="D28" s="75"/>
      <c r="E28" s="79"/>
      <c r="F28" s="79"/>
      <c r="G28" s="79"/>
      <c r="H28" s="79"/>
      <c r="I28" s="79"/>
      <c r="J28" s="74" t="str">
        <f t="shared" si="1"/>
        <v/>
      </c>
      <c r="K28" s="74" t="str">
        <f t="shared" si="2"/>
        <v/>
      </c>
      <c r="L28" s="74" t="str">
        <f t="shared" si="3"/>
        <v/>
      </c>
      <c r="M28" s="31">
        <f t="shared" si="4"/>
        <v>0</v>
      </c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ht="12.75" customHeight="1">
      <c r="A29" s="71">
        <v>25.0</v>
      </c>
      <c r="B29" s="27"/>
      <c r="C29" s="33"/>
      <c r="D29" s="33"/>
      <c r="E29" s="34"/>
      <c r="F29" s="34"/>
      <c r="G29" s="34"/>
      <c r="H29" s="34"/>
      <c r="I29" s="34"/>
      <c r="J29" s="35" t="str">
        <f t="shared" si="1"/>
        <v/>
      </c>
      <c r="K29" s="35" t="str">
        <f t="shared" si="2"/>
        <v/>
      </c>
      <c r="L29" s="35" t="str">
        <f t="shared" si="3"/>
        <v/>
      </c>
      <c r="M29" s="31">
        <f t="shared" si="4"/>
        <v>0</v>
      </c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 ht="12.75" customHeight="1">
      <c r="A30" s="71">
        <v>26.0</v>
      </c>
      <c r="B30" s="27"/>
      <c r="C30" s="32"/>
      <c r="D30" s="32"/>
      <c r="E30" s="34"/>
      <c r="F30" s="34"/>
      <c r="G30" s="34"/>
      <c r="H30" s="34"/>
      <c r="I30" s="34"/>
      <c r="J30" s="35" t="str">
        <f t="shared" si="1"/>
        <v/>
      </c>
      <c r="K30" s="35" t="str">
        <f t="shared" si="2"/>
        <v/>
      </c>
      <c r="L30" s="35" t="str">
        <f t="shared" si="3"/>
        <v/>
      </c>
      <c r="M30" s="31">
        <f t="shared" si="4"/>
        <v>0</v>
      </c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 ht="12.75" customHeight="1">
      <c r="A31" s="71">
        <v>27.0</v>
      </c>
      <c r="B31" s="27"/>
      <c r="C31" s="32"/>
      <c r="D31" s="32"/>
      <c r="E31" s="34"/>
      <c r="F31" s="34"/>
      <c r="G31" s="34"/>
      <c r="H31" s="34"/>
      <c r="I31" s="34"/>
      <c r="J31" s="35" t="str">
        <f t="shared" si="1"/>
        <v/>
      </c>
      <c r="K31" s="35" t="str">
        <f t="shared" si="2"/>
        <v/>
      </c>
      <c r="L31" s="35" t="str">
        <f t="shared" si="3"/>
        <v/>
      </c>
      <c r="M31" s="31">
        <f t="shared" si="4"/>
        <v>0</v>
      </c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 ht="12.75" customHeight="1">
      <c r="A32" s="71">
        <v>28.0</v>
      </c>
      <c r="B32" s="27"/>
      <c r="C32" s="70"/>
      <c r="D32" s="70"/>
      <c r="E32" s="34"/>
      <c r="F32" s="34"/>
      <c r="G32" s="34"/>
      <c r="H32" s="34"/>
      <c r="I32" s="34"/>
      <c r="J32" s="35" t="str">
        <f t="shared" si="1"/>
        <v/>
      </c>
      <c r="K32" s="35" t="str">
        <f t="shared" si="2"/>
        <v/>
      </c>
      <c r="L32" s="35" t="str">
        <f t="shared" si="3"/>
        <v/>
      </c>
      <c r="M32" s="31">
        <f t="shared" si="4"/>
        <v>0</v>
      </c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 ht="12.75" customHeight="1">
      <c r="A33" s="71">
        <v>29.0</v>
      </c>
      <c r="B33" s="27"/>
      <c r="C33" s="32"/>
      <c r="D33" s="32"/>
      <c r="E33" s="34"/>
      <c r="F33" s="34"/>
      <c r="G33" s="34"/>
      <c r="H33" s="34"/>
      <c r="I33" s="34"/>
      <c r="J33" s="35" t="str">
        <f t="shared" si="1"/>
        <v/>
      </c>
      <c r="K33" s="35" t="str">
        <f t="shared" si="2"/>
        <v/>
      </c>
      <c r="L33" s="35" t="str">
        <f>IF(COUNTBLANK(E33:I33)&gt;0,"",IF(COUNTIF(E33:I33,"DNF")+COUNTIF(E33:I33,"DNS")&gt;1,"DNF",IF(COUNTIF(E33:I33,"DNF")+COUNTIF(E33:I33,"DNS")&gt;0,(SUM(E33:I33)-J33)/3,(SUM(E33:I33)-J33-K33)/3)))</f>
        <v/>
      </c>
      <c r="M33" s="31">
        <f t="shared" si="4"/>
        <v>0</v>
      </c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ht="12.75" customHeight="1">
      <c r="A34" s="71">
        <v>30.0</v>
      </c>
      <c r="B34" s="27"/>
      <c r="C34" s="28"/>
      <c r="D34" s="28"/>
      <c r="E34" s="34"/>
      <c r="F34" s="34"/>
      <c r="G34" s="34"/>
      <c r="H34" s="34"/>
      <c r="I34" s="34"/>
      <c r="J34" s="35" t="str">
        <f t="shared" si="1"/>
        <v/>
      </c>
      <c r="K34" s="35" t="str">
        <f t="shared" si="2"/>
        <v/>
      </c>
      <c r="L34" s="35" t="str">
        <f t="shared" ref="L34:L98" si="5">IF(COUNTBLANK(E34:I34)&gt;0,"",IF(COUNTIF(E34:I34,"DNF")+COUNTIF(E34:I34,"DNS")&gt;1,"DNF",ROUND(IF(COUNTIF(E34:I34,"DNF")+COUNTIF(E34:I34,"DNS")&gt;0,(SUM(E34:I34)-J34)/3,(SUM(E34:I34)-J34-K34)/3),2)))</f>
        <v/>
      </c>
      <c r="M34" s="31">
        <f t="shared" si="4"/>
        <v>0</v>
      </c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 ht="12.75" customHeight="1">
      <c r="A35" s="71">
        <v>31.0</v>
      </c>
      <c r="B35" s="27"/>
      <c r="C35" s="33"/>
      <c r="D35" s="33"/>
      <c r="E35" s="34"/>
      <c r="F35" s="34"/>
      <c r="G35" s="34"/>
      <c r="H35" s="34"/>
      <c r="I35" s="34"/>
      <c r="J35" s="35" t="str">
        <f t="shared" si="1"/>
        <v/>
      </c>
      <c r="K35" s="35" t="str">
        <f t="shared" si="2"/>
        <v/>
      </c>
      <c r="L35" s="35" t="str">
        <f t="shared" si="5"/>
        <v/>
      </c>
      <c r="M35" s="31">
        <f t="shared" si="4"/>
        <v>0</v>
      </c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 ht="12.75" customHeight="1">
      <c r="A36" s="71">
        <v>32.0</v>
      </c>
      <c r="B36" s="27"/>
      <c r="C36" s="75"/>
      <c r="D36" s="75"/>
      <c r="E36" s="34"/>
      <c r="F36" s="34"/>
      <c r="G36" s="34"/>
      <c r="H36" s="34"/>
      <c r="I36" s="34"/>
      <c r="J36" s="35" t="str">
        <f t="shared" si="1"/>
        <v/>
      </c>
      <c r="K36" s="35" t="str">
        <f t="shared" si="2"/>
        <v/>
      </c>
      <c r="L36" s="35" t="str">
        <f t="shared" si="5"/>
        <v/>
      </c>
      <c r="M36" s="31">
        <f t="shared" si="4"/>
        <v>0</v>
      </c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 ht="12.75" customHeight="1">
      <c r="A37" s="71">
        <v>33.0</v>
      </c>
      <c r="B37" s="27"/>
      <c r="C37" s="75"/>
      <c r="D37" s="75"/>
      <c r="E37" s="34"/>
      <c r="F37" s="34"/>
      <c r="G37" s="34"/>
      <c r="H37" s="34"/>
      <c r="I37" s="34"/>
      <c r="J37" s="35" t="str">
        <f t="shared" si="1"/>
        <v/>
      </c>
      <c r="K37" s="35" t="str">
        <f t="shared" si="2"/>
        <v/>
      </c>
      <c r="L37" s="35" t="str">
        <f t="shared" si="5"/>
        <v/>
      </c>
      <c r="M37" s="31">
        <f t="shared" si="4"/>
        <v>0</v>
      </c>
    </row>
    <row r="38" ht="12.75" customHeight="1">
      <c r="A38" s="71">
        <v>34.0</v>
      </c>
      <c r="B38" s="27"/>
      <c r="C38" s="72"/>
      <c r="D38" s="72"/>
      <c r="E38" s="29"/>
      <c r="F38" s="29"/>
      <c r="G38" s="29"/>
      <c r="H38" s="29"/>
      <c r="I38" s="29"/>
      <c r="J38" s="30" t="str">
        <f t="shared" si="1"/>
        <v/>
      </c>
      <c r="K38" s="30" t="str">
        <f t="shared" si="2"/>
        <v/>
      </c>
      <c r="L38" s="30" t="str">
        <f t="shared" si="5"/>
        <v/>
      </c>
      <c r="M38" s="31">
        <f t="shared" si="4"/>
        <v>0</v>
      </c>
    </row>
    <row r="39" ht="12.75" customHeight="1">
      <c r="A39" s="71">
        <v>35.0</v>
      </c>
      <c r="B39" s="27"/>
      <c r="C39" s="39"/>
      <c r="D39" s="39"/>
      <c r="E39" s="34"/>
      <c r="F39" s="34"/>
      <c r="G39" s="34"/>
      <c r="H39" s="34"/>
      <c r="I39" s="34"/>
      <c r="J39" s="35" t="str">
        <f t="shared" si="1"/>
        <v/>
      </c>
      <c r="K39" s="35" t="str">
        <f t="shared" si="2"/>
        <v/>
      </c>
      <c r="L39" s="35" t="str">
        <f t="shared" si="5"/>
        <v/>
      </c>
      <c r="M39" s="31">
        <f t="shared" si="4"/>
        <v>0</v>
      </c>
    </row>
    <row r="40" ht="12.75" customHeight="1">
      <c r="A40" s="71">
        <v>36.0</v>
      </c>
      <c r="B40" s="27"/>
      <c r="C40" s="25"/>
      <c r="D40" s="25"/>
      <c r="E40" s="34"/>
      <c r="F40" s="34"/>
      <c r="G40" s="34"/>
      <c r="H40" s="34"/>
      <c r="I40" s="34"/>
      <c r="J40" s="35" t="str">
        <f t="shared" si="1"/>
        <v/>
      </c>
      <c r="K40" s="35" t="str">
        <f t="shared" si="2"/>
        <v/>
      </c>
      <c r="L40" s="35" t="str">
        <f t="shared" si="5"/>
        <v/>
      </c>
      <c r="M40" s="31">
        <f t="shared" si="4"/>
        <v>0</v>
      </c>
    </row>
    <row r="41" ht="12.75" customHeight="1">
      <c r="A41" s="71">
        <v>37.0</v>
      </c>
      <c r="B41" s="27"/>
      <c r="C41" s="75"/>
      <c r="D41" s="75"/>
      <c r="E41" s="34"/>
      <c r="F41" s="34"/>
      <c r="G41" s="34"/>
      <c r="H41" s="34"/>
      <c r="I41" s="34"/>
      <c r="J41" s="35" t="str">
        <f t="shared" si="1"/>
        <v/>
      </c>
      <c r="K41" s="35" t="str">
        <f t="shared" si="2"/>
        <v/>
      </c>
      <c r="L41" s="35" t="str">
        <f t="shared" si="5"/>
        <v/>
      </c>
      <c r="M41" s="31">
        <f t="shared" si="4"/>
        <v>0</v>
      </c>
    </row>
    <row r="42" ht="12.75" customHeight="1">
      <c r="A42" s="71">
        <v>38.0</v>
      </c>
      <c r="B42" s="27"/>
      <c r="C42" s="76"/>
      <c r="D42" s="76"/>
      <c r="E42" s="34"/>
      <c r="F42" s="34"/>
      <c r="G42" s="34"/>
      <c r="H42" s="34"/>
      <c r="I42" s="34"/>
      <c r="J42" s="35" t="str">
        <f t="shared" si="1"/>
        <v/>
      </c>
      <c r="K42" s="35" t="str">
        <f t="shared" si="2"/>
        <v/>
      </c>
      <c r="L42" s="35" t="str">
        <f t="shared" si="5"/>
        <v/>
      </c>
      <c r="M42" s="31">
        <f t="shared" si="4"/>
        <v>0</v>
      </c>
    </row>
    <row r="43" ht="12.75" customHeight="1">
      <c r="A43" s="71">
        <v>39.0</v>
      </c>
      <c r="B43" s="27"/>
      <c r="C43" s="76"/>
      <c r="D43" s="76"/>
      <c r="E43" s="34"/>
      <c r="F43" s="34"/>
      <c r="G43" s="34"/>
      <c r="H43" s="34"/>
      <c r="I43" s="34"/>
      <c r="J43" s="35" t="str">
        <f t="shared" si="1"/>
        <v/>
      </c>
      <c r="K43" s="35" t="str">
        <f t="shared" si="2"/>
        <v/>
      </c>
      <c r="L43" s="35" t="str">
        <f t="shared" si="5"/>
        <v/>
      </c>
      <c r="M43" s="31">
        <f t="shared" si="4"/>
        <v>0</v>
      </c>
    </row>
    <row r="44">
      <c r="A44" s="71">
        <v>40.0</v>
      </c>
      <c r="B44" s="27"/>
      <c r="C44" s="76"/>
      <c r="D44" s="76"/>
      <c r="E44" s="34"/>
      <c r="F44" s="34"/>
      <c r="G44" s="34"/>
      <c r="H44" s="34"/>
      <c r="I44" s="34"/>
      <c r="J44" s="35" t="str">
        <f t="shared" si="1"/>
        <v/>
      </c>
      <c r="K44" s="35" t="str">
        <f t="shared" si="2"/>
        <v/>
      </c>
      <c r="L44" s="35" t="str">
        <f t="shared" si="5"/>
        <v/>
      </c>
      <c r="M44" s="31">
        <f t="shared" si="4"/>
        <v>0</v>
      </c>
    </row>
    <row r="45" ht="12.75" customHeight="1">
      <c r="A45" s="71">
        <v>41.0</v>
      </c>
      <c r="B45" s="27"/>
      <c r="C45" s="77"/>
      <c r="D45" s="77"/>
      <c r="E45" s="34"/>
      <c r="F45" s="34"/>
      <c r="G45" s="34"/>
      <c r="H45" s="34"/>
      <c r="I45" s="34"/>
      <c r="J45" s="35" t="str">
        <f t="shared" si="1"/>
        <v/>
      </c>
      <c r="K45" s="35" t="str">
        <f t="shared" si="2"/>
        <v/>
      </c>
      <c r="L45" s="35" t="str">
        <f t="shared" si="5"/>
        <v/>
      </c>
      <c r="M45" s="31">
        <f t="shared" si="4"/>
        <v>0</v>
      </c>
    </row>
    <row r="46" ht="12.75" customHeight="1">
      <c r="A46" s="71">
        <v>42.0</v>
      </c>
      <c r="B46" s="27"/>
      <c r="C46" s="76"/>
      <c r="D46" s="76"/>
      <c r="E46" s="34"/>
      <c r="F46" s="34"/>
      <c r="G46" s="34"/>
      <c r="H46" s="34"/>
      <c r="I46" s="34"/>
      <c r="J46" s="35" t="str">
        <f t="shared" si="1"/>
        <v/>
      </c>
      <c r="K46" s="35" t="str">
        <f t="shared" si="2"/>
        <v/>
      </c>
      <c r="L46" s="35" t="str">
        <f t="shared" si="5"/>
        <v/>
      </c>
      <c r="M46" s="31">
        <f t="shared" si="4"/>
        <v>0</v>
      </c>
    </row>
    <row r="47" ht="12.75" customHeight="1">
      <c r="A47" s="71">
        <v>43.0</v>
      </c>
      <c r="B47" s="27"/>
      <c r="C47" s="72"/>
      <c r="D47" s="72"/>
      <c r="E47" s="29"/>
      <c r="F47" s="29"/>
      <c r="G47" s="29"/>
      <c r="H47" s="29"/>
      <c r="I47" s="29"/>
      <c r="J47" s="30" t="str">
        <f t="shared" si="1"/>
        <v/>
      </c>
      <c r="K47" s="30" t="str">
        <f t="shared" si="2"/>
        <v/>
      </c>
      <c r="L47" s="30" t="str">
        <f t="shared" si="5"/>
        <v/>
      </c>
      <c r="M47" s="31">
        <f t="shared" si="4"/>
        <v>0</v>
      </c>
    </row>
    <row r="48" ht="12.75" customHeight="1">
      <c r="A48" s="71">
        <v>44.0</v>
      </c>
      <c r="B48" s="27"/>
      <c r="C48" s="76"/>
      <c r="D48" s="76"/>
      <c r="E48" s="34"/>
      <c r="F48" s="34"/>
      <c r="G48" s="34"/>
      <c r="H48" s="34"/>
      <c r="I48" s="34"/>
      <c r="J48" s="35" t="str">
        <f t="shared" si="1"/>
        <v/>
      </c>
      <c r="K48" s="35" t="str">
        <f t="shared" si="2"/>
        <v/>
      </c>
      <c r="L48" s="35" t="str">
        <f t="shared" si="5"/>
        <v/>
      </c>
      <c r="M48" s="31">
        <f t="shared" si="4"/>
        <v>0</v>
      </c>
    </row>
    <row r="49" ht="12.75" customHeight="1">
      <c r="A49" s="71">
        <v>45.0</v>
      </c>
      <c r="B49" s="27"/>
      <c r="C49" s="76"/>
      <c r="D49" s="76"/>
      <c r="E49" s="34"/>
      <c r="F49" s="34"/>
      <c r="G49" s="34"/>
      <c r="H49" s="34"/>
      <c r="I49" s="34"/>
      <c r="J49" s="35" t="str">
        <f t="shared" si="1"/>
        <v/>
      </c>
      <c r="K49" s="35" t="str">
        <f t="shared" si="2"/>
        <v/>
      </c>
      <c r="L49" s="35" t="str">
        <f t="shared" si="5"/>
        <v/>
      </c>
      <c r="M49" s="31">
        <f t="shared" si="4"/>
        <v>0</v>
      </c>
    </row>
    <row r="50" ht="12.75" customHeight="1">
      <c r="A50" s="71">
        <v>46.0</v>
      </c>
      <c r="B50" s="27"/>
      <c r="C50" s="72"/>
      <c r="D50" s="72"/>
      <c r="E50" s="29"/>
      <c r="F50" s="29"/>
      <c r="G50" s="29"/>
      <c r="H50" s="29"/>
      <c r="I50" s="29"/>
      <c r="J50" s="30" t="str">
        <f t="shared" si="1"/>
        <v/>
      </c>
      <c r="K50" s="30" t="str">
        <f t="shared" si="2"/>
        <v/>
      </c>
      <c r="L50" s="30" t="str">
        <f t="shared" si="5"/>
        <v/>
      </c>
      <c r="M50" s="31">
        <f t="shared" si="4"/>
        <v>0</v>
      </c>
    </row>
    <row r="51" ht="12.75" customHeight="1">
      <c r="A51" s="71">
        <v>47.0</v>
      </c>
      <c r="B51" s="27"/>
      <c r="C51" s="76"/>
      <c r="D51" s="76"/>
      <c r="E51" s="34"/>
      <c r="F51" s="34"/>
      <c r="G51" s="34"/>
      <c r="H51" s="34"/>
      <c r="I51" s="34"/>
      <c r="J51" s="35" t="str">
        <f t="shared" si="1"/>
        <v/>
      </c>
      <c r="K51" s="35" t="str">
        <f t="shared" si="2"/>
        <v/>
      </c>
      <c r="L51" s="35" t="str">
        <f t="shared" si="5"/>
        <v/>
      </c>
      <c r="M51" s="31">
        <f t="shared" si="4"/>
        <v>0</v>
      </c>
    </row>
    <row r="52" ht="12.75" customHeight="1">
      <c r="A52" s="71">
        <v>48.0</v>
      </c>
      <c r="B52" s="27"/>
      <c r="C52" s="72"/>
      <c r="D52" s="72"/>
      <c r="E52" s="29"/>
      <c r="F52" s="29"/>
      <c r="G52" s="29"/>
      <c r="H52" s="29"/>
      <c r="I52" s="29"/>
      <c r="J52" s="30" t="str">
        <f t="shared" si="1"/>
        <v/>
      </c>
      <c r="K52" s="30" t="str">
        <f t="shared" si="2"/>
        <v/>
      </c>
      <c r="L52" s="30" t="str">
        <f t="shared" si="5"/>
        <v/>
      </c>
      <c r="M52" s="31">
        <f t="shared" si="4"/>
        <v>0</v>
      </c>
    </row>
    <row r="53" ht="12.75" customHeight="1">
      <c r="A53" s="71">
        <v>49.0</v>
      </c>
      <c r="B53" s="27"/>
      <c r="C53" s="76"/>
      <c r="D53" s="76"/>
      <c r="E53" s="34"/>
      <c r="F53" s="34"/>
      <c r="G53" s="34"/>
      <c r="H53" s="34"/>
      <c r="I53" s="34"/>
      <c r="J53" s="35" t="str">
        <f t="shared" si="1"/>
        <v/>
      </c>
      <c r="K53" s="35" t="str">
        <f t="shared" si="2"/>
        <v/>
      </c>
      <c r="L53" s="35" t="str">
        <f t="shared" si="5"/>
        <v/>
      </c>
      <c r="M53" s="31">
        <f t="shared" si="4"/>
        <v>0</v>
      </c>
    </row>
    <row r="54" ht="12.75" customHeight="1">
      <c r="A54" s="71">
        <v>50.0</v>
      </c>
      <c r="B54" s="27"/>
      <c r="C54" s="76"/>
      <c r="D54" s="76"/>
      <c r="E54" s="34"/>
      <c r="F54" s="34"/>
      <c r="G54" s="34"/>
      <c r="H54" s="34"/>
      <c r="I54" s="34"/>
      <c r="J54" s="35" t="str">
        <f t="shared" si="1"/>
        <v/>
      </c>
      <c r="K54" s="35" t="str">
        <f t="shared" si="2"/>
        <v/>
      </c>
      <c r="L54" s="35" t="str">
        <f t="shared" si="5"/>
        <v/>
      </c>
      <c r="M54" s="31">
        <f t="shared" si="4"/>
        <v>0</v>
      </c>
    </row>
    <row r="55" ht="12.75" customHeight="1">
      <c r="A55" s="71">
        <v>51.0</v>
      </c>
      <c r="B55" s="27"/>
      <c r="C55" s="76"/>
      <c r="D55" s="76"/>
      <c r="E55" s="34"/>
      <c r="F55" s="34"/>
      <c r="G55" s="34"/>
      <c r="H55" s="34"/>
      <c r="I55" s="34"/>
      <c r="J55" s="35" t="str">
        <f t="shared" si="1"/>
        <v/>
      </c>
      <c r="K55" s="35" t="str">
        <f t="shared" si="2"/>
        <v/>
      </c>
      <c r="L55" s="35" t="str">
        <f t="shared" si="5"/>
        <v/>
      </c>
      <c r="M55" s="31">
        <f t="shared" si="4"/>
        <v>0</v>
      </c>
    </row>
    <row r="56" ht="12.75" customHeight="1">
      <c r="A56" s="33">
        <f t="shared" ref="A56:A98" si="6">IF(AND(L54=L55,J54=J55),A55,ROW()-4)</f>
        <v>51</v>
      </c>
      <c r="B56" s="27"/>
      <c r="C56" s="76"/>
      <c r="D56" s="76"/>
      <c r="E56" s="34"/>
      <c r="F56" s="34"/>
      <c r="G56" s="34"/>
      <c r="H56" s="34"/>
      <c r="I56" s="34"/>
      <c r="J56" s="35" t="str">
        <f t="shared" si="1"/>
        <v/>
      </c>
      <c r="K56" s="35" t="str">
        <f t="shared" si="2"/>
        <v/>
      </c>
      <c r="L56" s="35" t="str">
        <f t="shared" si="5"/>
        <v/>
      </c>
      <c r="M56" s="31">
        <f t="shared" si="4"/>
        <v>0</v>
      </c>
    </row>
    <row r="57" ht="12.75" customHeight="1">
      <c r="A57" s="33">
        <f t="shared" si="6"/>
        <v>51</v>
      </c>
      <c r="B57" s="27"/>
      <c r="C57" s="76"/>
      <c r="D57" s="76"/>
      <c r="E57" s="34"/>
      <c r="F57" s="34"/>
      <c r="G57" s="34"/>
      <c r="H57" s="34"/>
      <c r="I57" s="34"/>
      <c r="J57" s="35" t="str">
        <f t="shared" si="1"/>
        <v/>
      </c>
      <c r="K57" s="35" t="str">
        <f t="shared" si="2"/>
        <v/>
      </c>
      <c r="L57" s="35" t="str">
        <f t="shared" si="5"/>
        <v/>
      </c>
      <c r="M57" s="31">
        <f t="shared" si="4"/>
        <v>0</v>
      </c>
    </row>
    <row r="58" ht="12.75" customHeight="1">
      <c r="A58" s="33">
        <f t="shared" si="6"/>
        <v>51</v>
      </c>
      <c r="B58" s="27"/>
      <c r="C58" s="76"/>
      <c r="D58" s="76"/>
      <c r="E58" s="34"/>
      <c r="F58" s="34"/>
      <c r="G58" s="34"/>
      <c r="H58" s="34"/>
      <c r="I58" s="34"/>
      <c r="J58" s="35" t="str">
        <f t="shared" si="1"/>
        <v/>
      </c>
      <c r="K58" s="35" t="str">
        <f t="shared" si="2"/>
        <v/>
      </c>
      <c r="L58" s="35" t="str">
        <f t="shared" si="5"/>
        <v/>
      </c>
      <c r="M58" s="31">
        <f t="shared" si="4"/>
        <v>0</v>
      </c>
    </row>
    <row r="59" ht="12.75" customHeight="1">
      <c r="A59" s="33">
        <f t="shared" si="6"/>
        <v>51</v>
      </c>
      <c r="B59" s="27"/>
      <c r="C59" s="76"/>
      <c r="D59" s="76"/>
      <c r="E59" s="34"/>
      <c r="F59" s="34"/>
      <c r="G59" s="34"/>
      <c r="H59" s="34"/>
      <c r="I59" s="34"/>
      <c r="J59" s="35" t="str">
        <f t="shared" si="1"/>
        <v/>
      </c>
      <c r="K59" s="35" t="str">
        <f t="shared" si="2"/>
        <v/>
      </c>
      <c r="L59" s="35" t="str">
        <f t="shared" si="5"/>
        <v/>
      </c>
      <c r="M59" s="31">
        <f t="shared" si="4"/>
        <v>0</v>
      </c>
    </row>
    <row r="60" ht="12.75" customHeight="1">
      <c r="A60" s="33">
        <f t="shared" si="6"/>
        <v>51</v>
      </c>
      <c r="B60" s="27"/>
      <c r="C60" s="76"/>
      <c r="D60" s="76"/>
      <c r="E60" s="34"/>
      <c r="F60" s="34"/>
      <c r="G60" s="34"/>
      <c r="H60" s="34"/>
      <c r="I60" s="34"/>
      <c r="J60" s="35" t="str">
        <f t="shared" si="1"/>
        <v/>
      </c>
      <c r="K60" s="35" t="str">
        <f t="shared" si="2"/>
        <v/>
      </c>
      <c r="L60" s="35" t="str">
        <f t="shared" si="5"/>
        <v/>
      </c>
      <c r="M60" s="31">
        <f t="shared" si="4"/>
        <v>0</v>
      </c>
    </row>
    <row r="61" ht="12.75" customHeight="1">
      <c r="A61" s="33">
        <f t="shared" si="6"/>
        <v>51</v>
      </c>
      <c r="B61" s="27"/>
      <c r="C61" s="76"/>
      <c r="D61" s="76"/>
      <c r="E61" s="34"/>
      <c r="F61" s="34"/>
      <c r="G61" s="34"/>
      <c r="H61" s="34"/>
      <c r="I61" s="34"/>
      <c r="J61" s="35" t="str">
        <f t="shared" si="1"/>
        <v/>
      </c>
      <c r="K61" s="35" t="str">
        <f t="shared" si="2"/>
        <v/>
      </c>
      <c r="L61" s="35" t="str">
        <f t="shared" si="5"/>
        <v/>
      </c>
      <c r="M61" s="31">
        <f t="shared" si="4"/>
        <v>0</v>
      </c>
    </row>
    <row r="62" ht="12.75" customHeight="1">
      <c r="A62" s="33">
        <f t="shared" si="6"/>
        <v>51</v>
      </c>
      <c r="B62" s="27"/>
      <c r="C62" s="76"/>
      <c r="D62" s="76"/>
      <c r="E62" s="34"/>
      <c r="F62" s="34"/>
      <c r="G62" s="34"/>
      <c r="H62" s="34"/>
      <c r="I62" s="34"/>
      <c r="J62" s="35" t="str">
        <f t="shared" si="1"/>
        <v/>
      </c>
      <c r="K62" s="35" t="str">
        <f t="shared" si="2"/>
        <v/>
      </c>
      <c r="L62" s="35" t="str">
        <f t="shared" si="5"/>
        <v/>
      </c>
      <c r="M62" s="31">
        <f t="shared" si="4"/>
        <v>0</v>
      </c>
    </row>
    <row r="63" ht="12.75" customHeight="1">
      <c r="A63" s="33">
        <f t="shared" si="6"/>
        <v>51</v>
      </c>
      <c r="B63" s="27"/>
      <c r="C63" s="76"/>
      <c r="D63" s="76"/>
      <c r="E63" s="34"/>
      <c r="F63" s="34"/>
      <c r="G63" s="34"/>
      <c r="H63" s="34"/>
      <c r="I63" s="34"/>
      <c r="J63" s="35" t="str">
        <f t="shared" si="1"/>
        <v/>
      </c>
      <c r="K63" s="35" t="str">
        <f t="shared" si="2"/>
        <v/>
      </c>
      <c r="L63" s="35" t="str">
        <f t="shared" si="5"/>
        <v/>
      </c>
      <c r="M63" s="31">
        <f t="shared" si="4"/>
        <v>0</v>
      </c>
    </row>
    <row r="64" ht="12.75" customHeight="1">
      <c r="A64" s="33">
        <f t="shared" si="6"/>
        <v>51</v>
      </c>
      <c r="B64" s="27"/>
      <c r="C64" s="76"/>
      <c r="D64" s="76"/>
      <c r="E64" s="34"/>
      <c r="F64" s="34"/>
      <c r="G64" s="34"/>
      <c r="H64" s="34"/>
      <c r="I64" s="34"/>
      <c r="J64" s="35" t="str">
        <f t="shared" si="1"/>
        <v/>
      </c>
      <c r="K64" s="35" t="str">
        <f t="shared" si="2"/>
        <v/>
      </c>
      <c r="L64" s="35" t="str">
        <f t="shared" si="5"/>
        <v/>
      </c>
      <c r="M64" s="31">
        <f t="shared" si="4"/>
        <v>0</v>
      </c>
    </row>
    <row r="65" ht="12.75" customHeight="1">
      <c r="A65" s="33">
        <f t="shared" si="6"/>
        <v>51</v>
      </c>
      <c r="B65" s="27"/>
      <c r="C65" s="76"/>
      <c r="D65" s="76"/>
      <c r="E65" s="34"/>
      <c r="F65" s="34"/>
      <c r="G65" s="34"/>
      <c r="H65" s="34"/>
      <c r="I65" s="34"/>
      <c r="J65" s="35" t="str">
        <f t="shared" si="1"/>
        <v/>
      </c>
      <c r="K65" s="35" t="str">
        <f t="shared" si="2"/>
        <v/>
      </c>
      <c r="L65" s="35" t="str">
        <f t="shared" si="5"/>
        <v/>
      </c>
      <c r="M65" s="31">
        <f t="shared" si="4"/>
        <v>0</v>
      </c>
    </row>
    <row r="66" ht="12.75" customHeight="1">
      <c r="A66" s="33">
        <f t="shared" si="6"/>
        <v>51</v>
      </c>
      <c r="B66" s="27"/>
      <c r="C66" s="76"/>
      <c r="D66" s="76"/>
      <c r="E66" s="34"/>
      <c r="F66" s="34"/>
      <c r="G66" s="34"/>
      <c r="H66" s="34"/>
      <c r="I66" s="34"/>
      <c r="J66" s="35" t="str">
        <f t="shared" si="1"/>
        <v/>
      </c>
      <c r="K66" s="35" t="str">
        <f t="shared" si="2"/>
        <v/>
      </c>
      <c r="L66" s="35" t="str">
        <f t="shared" si="5"/>
        <v/>
      </c>
      <c r="M66" s="31">
        <f t="shared" si="4"/>
        <v>0</v>
      </c>
    </row>
    <row r="67" ht="12.75" customHeight="1">
      <c r="A67" s="33">
        <f t="shared" si="6"/>
        <v>51</v>
      </c>
      <c r="B67" s="27"/>
      <c r="C67" s="76"/>
      <c r="D67" s="76"/>
      <c r="E67" s="34"/>
      <c r="F67" s="34"/>
      <c r="G67" s="34"/>
      <c r="H67" s="34"/>
      <c r="I67" s="34"/>
      <c r="J67" s="35" t="str">
        <f t="shared" si="1"/>
        <v/>
      </c>
      <c r="K67" s="35" t="str">
        <f t="shared" si="2"/>
        <v/>
      </c>
      <c r="L67" s="35" t="str">
        <f t="shared" si="5"/>
        <v/>
      </c>
      <c r="M67" s="31">
        <f t="shared" si="4"/>
        <v>0</v>
      </c>
    </row>
    <row r="68" ht="12.75" customHeight="1">
      <c r="A68" s="33">
        <f t="shared" si="6"/>
        <v>51</v>
      </c>
      <c r="B68" s="27"/>
      <c r="C68" s="76"/>
      <c r="D68" s="76"/>
      <c r="E68" s="34"/>
      <c r="F68" s="34"/>
      <c r="G68" s="34"/>
      <c r="H68" s="34"/>
      <c r="I68" s="34"/>
      <c r="J68" s="35" t="str">
        <f t="shared" si="1"/>
        <v/>
      </c>
      <c r="K68" s="35" t="str">
        <f t="shared" si="2"/>
        <v/>
      </c>
      <c r="L68" s="35" t="str">
        <f t="shared" si="5"/>
        <v/>
      </c>
      <c r="M68" s="31">
        <f t="shared" si="4"/>
        <v>0</v>
      </c>
    </row>
    <row r="69" ht="12.75" customHeight="1">
      <c r="A69" s="33">
        <f t="shared" si="6"/>
        <v>51</v>
      </c>
      <c r="B69" s="27"/>
      <c r="C69" s="76"/>
      <c r="D69" s="76"/>
      <c r="E69" s="34"/>
      <c r="F69" s="34"/>
      <c r="G69" s="34"/>
      <c r="H69" s="34"/>
      <c r="I69" s="34"/>
      <c r="J69" s="35" t="str">
        <f t="shared" si="1"/>
        <v/>
      </c>
      <c r="K69" s="35" t="str">
        <f t="shared" si="2"/>
        <v/>
      </c>
      <c r="L69" s="35" t="str">
        <f t="shared" si="5"/>
        <v/>
      </c>
      <c r="M69" s="31">
        <f t="shared" si="4"/>
        <v>0</v>
      </c>
    </row>
    <row r="70" ht="12.75" customHeight="1">
      <c r="A70" s="33">
        <f t="shared" si="6"/>
        <v>51</v>
      </c>
      <c r="B70" s="27"/>
      <c r="C70" s="76"/>
      <c r="D70" s="76"/>
      <c r="E70" s="34"/>
      <c r="F70" s="34"/>
      <c r="G70" s="34"/>
      <c r="H70" s="34"/>
      <c r="I70" s="34"/>
      <c r="J70" s="35" t="str">
        <f t="shared" si="1"/>
        <v/>
      </c>
      <c r="K70" s="35" t="str">
        <f t="shared" si="2"/>
        <v/>
      </c>
      <c r="L70" s="35" t="str">
        <f t="shared" si="5"/>
        <v/>
      </c>
      <c r="M70" s="31">
        <f t="shared" si="4"/>
        <v>0</v>
      </c>
    </row>
    <row r="71" ht="12.75" customHeight="1">
      <c r="A71" s="33">
        <f t="shared" si="6"/>
        <v>51</v>
      </c>
      <c r="B71" s="27"/>
      <c r="C71" s="76"/>
      <c r="D71" s="76"/>
      <c r="E71" s="34"/>
      <c r="F71" s="34"/>
      <c r="G71" s="34"/>
      <c r="H71" s="34"/>
      <c r="I71" s="34"/>
      <c r="J71" s="35" t="str">
        <f t="shared" si="1"/>
        <v/>
      </c>
      <c r="K71" s="35" t="str">
        <f t="shared" si="2"/>
        <v/>
      </c>
      <c r="L71" s="35" t="str">
        <f t="shared" si="5"/>
        <v/>
      </c>
      <c r="M71" s="31">
        <f t="shared" si="4"/>
        <v>0</v>
      </c>
    </row>
    <row r="72" ht="12.75" customHeight="1">
      <c r="A72" s="33">
        <f t="shared" si="6"/>
        <v>51</v>
      </c>
      <c r="B72" s="27"/>
      <c r="C72" s="76"/>
      <c r="D72" s="76"/>
      <c r="E72" s="34"/>
      <c r="F72" s="34"/>
      <c r="G72" s="34"/>
      <c r="H72" s="34"/>
      <c r="I72" s="34"/>
      <c r="J72" s="35" t="str">
        <f t="shared" si="1"/>
        <v/>
      </c>
      <c r="K72" s="35" t="str">
        <f t="shared" si="2"/>
        <v/>
      </c>
      <c r="L72" s="35" t="str">
        <f t="shared" si="5"/>
        <v/>
      </c>
      <c r="M72" s="31">
        <f t="shared" si="4"/>
        <v>0</v>
      </c>
    </row>
    <row r="73" ht="12.75" customHeight="1">
      <c r="A73" s="33">
        <f t="shared" si="6"/>
        <v>51</v>
      </c>
      <c r="B73" s="27"/>
      <c r="C73" s="76"/>
      <c r="D73" s="76"/>
      <c r="E73" s="34"/>
      <c r="F73" s="34"/>
      <c r="G73" s="34"/>
      <c r="H73" s="34"/>
      <c r="I73" s="34"/>
      <c r="J73" s="35" t="str">
        <f t="shared" si="1"/>
        <v/>
      </c>
      <c r="K73" s="35" t="str">
        <f t="shared" si="2"/>
        <v/>
      </c>
      <c r="L73" s="35" t="str">
        <f t="shared" si="5"/>
        <v/>
      </c>
      <c r="M73" s="31">
        <f t="shared" si="4"/>
        <v>0</v>
      </c>
    </row>
    <row r="74" ht="12.75" customHeight="1">
      <c r="A74" s="33">
        <f t="shared" si="6"/>
        <v>51</v>
      </c>
      <c r="B74" s="27"/>
      <c r="C74" s="76"/>
      <c r="D74" s="76"/>
      <c r="E74" s="34"/>
      <c r="F74" s="34"/>
      <c r="G74" s="34"/>
      <c r="H74" s="34"/>
      <c r="I74" s="34"/>
      <c r="J74" s="35" t="str">
        <f t="shared" si="1"/>
        <v/>
      </c>
      <c r="K74" s="35" t="str">
        <f t="shared" si="2"/>
        <v/>
      </c>
      <c r="L74" s="35" t="str">
        <f t="shared" si="5"/>
        <v/>
      </c>
      <c r="M74" s="31">
        <f t="shared" si="4"/>
        <v>0</v>
      </c>
    </row>
    <row r="75" ht="12.75" customHeight="1">
      <c r="A75" s="33">
        <f t="shared" si="6"/>
        <v>51</v>
      </c>
      <c r="B75" s="27"/>
      <c r="C75" s="76"/>
      <c r="D75" s="76"/>
      <c r="E75" s="34"/>
      <c r="F75" s="34"/>
      <c r="G75" s="34"/>
      <c r="H75" s="34"/>
      <c r="I75" s="34"/>
      <c r="J75" s="35" t="str">
        <f t="shared" si="1"/>
        <v/>
      </c>
      <c r="K75" s="35" t="str">
        <f t="shared" si="2"/>
        <v/>
      </c>
      <c r="L75" s="35" t="str">
        <f t="shared" si="5"/>
        <v/>
      </c>
      <c r="M75" s="31">
        <f t="shared" si="4"/>
        <v>0</v>
      </c>
    </row>
    <row r="76" ht="12.75" customHeight="1">
      <c r="A76" s="33">
        <f t="shared" si="6"/>
        <v>51</v>
      </c>
      <c r="B76" s="27"/>
      <c r="C76" s="76"/>
      <c r="D76" s="76"/>
      <c r="E76" s="34"/>
      <c r="F76" s="34"/>
      <c r="G76" s="34"/>
      <c r="H76" s="34"/>
      <c r="I76" s="34"/>
      <c r="J76" s="35" t="str">
        <f t="shared" si="1"/>
        <v/>
      </c>
      <c r="K76" s="35" t="str">
        <f t="shared" si="2"/>
        <v/>
      </c>
      <c r="L76" s="35" t="str">
        <f t="shared" si="5"/>
        <v/>
      </c>
      <c r="M76" s="31">
        <f t="shared" si="4"/>
        <v>0</v>
      </c>
    </row>
    <row r="77" ht="12.75" customHeight="1">
      <c r="A77" s="33">
        <f t="shared" si="6"/>
        <v>51</v>
      </c>
      <c r="B77" s="27"/>
      <c r="C77" s="76"/>
      <c r="D77" s="76"/>
      <c r="E77" s="34"/>
      <c r="F77" s="34"/>
      <c r="G77" s="34"/>
      <c r="H77" s="34"/>
      <c r="I77" s="34"/>
      <c r="J77" s="35" t="str">
        <f t="shared" si="1"/>
        <v/>
      </c>
      <c r="K77" s="35" t="str">
        <f t="shared" si="2"/>
        <v/>
      </c>
      <c r="L77" s="35" t="str">
        <f t="shared" si="5"/>
        <v/>
      </c>
      <c r="M77" s="31">
        <f t="shared" si="4"/>
        <v>0</v>
      </c>
    </row>
    <row r="78" ht="12.75" customHeight="1">
      <c r="A78" s="33">
        <f t="shared" si="6"/>
        <v>51</v>
      </c>
      <c r="B78" s="27"/>
      <c r="C78" s="76"/>
      <c r="D78" s="76"/>
      <c r="E78" s="34"/>
      <c r="F78" s="34"/>
      <c r="G78" s="34"/>
      <c r="H78" s="34"/>
      <c r="I78" s="34"/>
      <c r="J78" s="35" t="str">
        <f t="shared" si="1"/>
        <v/>
      </c>
      <c r="K78" s="35" t="str">
        <f t="shared" si="2"/>
        <v/>
      </c>
      <c r="L78" s="35" t="str">
        <f t="shared" si="5"/>
        <v/>
      </c>
      <c r="M78" s="31">
        <f t="shared" si="4"/>
        <v>0</v>
      </c>
    </row>
    <row r="79" ht="12.75" customHeight="1">
      <c r="A79" s="33">
        <f t="shared" si="6"/>
        <v>51</v>
      </c>
      <c r="B79" s="27"/>
      <c r="C79" s="76"/>
      <c r="D79" s="76"/>
      <c r="E79" s="34"/>
      <c r="F79" s="34"/>
      <c r="G79" s="34"/>
      <c r="H79" s="34"/>
      <c r="I79" s="34"/>
      <c r="J79" s="35" t="str">
        <f t="shared" si="1"/>
        <v/>
      </c>
      <c r="K79" s="35" t="str">
        <f t="shared" si="2"/>
        <v/>
      </c>
      <c r="L79" s="35" t="str">
        <f t="shared" si="5"/>
        <v/>
      </c>
      <c r="M79" s="31">
        <f t="shared" si="4"/>
        <v>0</v>
      </c>
    </row>
    <row r="80" ht="12.75" customHeight="1">
      <c r="A80" s="33">
        <f t="shared" si="6"/>
        <v>51</v>
      </c>
      <c r="B80" s="27"/>
      <c r="C80" s="76"/>
      <c r="D80" s="76"/>
      <c r="E80" s="34"/>
      <c r="F80" s="34"/>
      <c r="G80" s="34"/>
      <c r="H80" s="34"/>
      <c r="I80" s="34"/>
      <c r="J80" s="35" t="str">
        <f t="shared" si="1"/>
        <v/>
      </c>
      <c r="K80" s="35" t="str">
        <f t="shared" si="2"/>
        <v/>
      </c>
      <c r="L80" s="35" t="str">
        <f t="shared" si="5"/>
        <v/>
      </c>
      <c r="M80" s="31">
        <f t="shared" si="4"/>
        <v>0</v>
      </c>
    </row>
    <row r="81" ht="12.75" customHeight="1">
      <c r="A81" s="33">
        <f t="shared" si="6"/>
        <v>51</v>
      </c>
      <c r="B81" s="27"/>
      <c r="C81" s="76"/>
      <c r="D81" s="76"/>
      <c r="E81" s="34"/>
      <c r="F81" s="34"/>
      <c r="G81" s="34"/>
      <c r="H81" s="34"/>
      <c r="I81" s="34"/>
      <c r="J81" s="35" t="str">
        <f t="shared" si="1"/>
        <v/>
      </c>
      <c r="K81" s="35" t="str">
        <f t="shared" si="2"/>
        <v/>
      </c>
      <c r="L81" s="35" t="str">
        <f t="shared" si="5"/>
        <v/>
      </c>
      <c r="M81" s="31">
        <f t="shared" si="4"/>
        <v>0</v>
      </c>
    </row>
    <row r="82" ht="12.75" customHeight="1">
      <c r="A82" s="33">
        <f t="shared" si="6"/>
        <v>51</v>
      </c>
      <c r="B82" s="27"/>
      <c r="C82" s="76"/>
      <c r="D82" s="76"/>
      <c r="E82" s="34"/>
      <c r="F82" s="34"/>
      <c r="G82" s="34"/>
      <c r="H82" s="34"/>
      <c r="I82" s="34"/>
      <c r="J82" s="35" t="str">
        <f t="shared" si="1"/>
        <v/>
      </c>
      <c r="K82" s="35" t="str">
        <f t="shared" si="2"/>
        <v/>
      </c>
      <c r="L82" s="35" t="str">
        <f t="shared" si="5"/>
        <v/>
      </c>
      <c r="M82" s="31">
        <f t="shared" si="4"/>
        <v>0</v>
      </c>
    </row>
    <row r="83" ht="12.75" customHeight="1">
      <c r="A83" s="33">
        <f t="shared" si="6"/>
        <v>51</v>
      </c>
      <c r="B83" s="27"/>
      <c r="C83" s="76"/>
      <c r="D83" s="76"/>
      <c r="E83" s="34"/>
      <c r="F83" s="34"/>
      <c r="G83" s="34"/>
      <c r="H83" s="34"/>
      <c r="I83" s="34"/>
      <c r="J83" s="35" t="str">
        <f t="shared" si="1"/>
        <v/>
      </c>
      <c r="K83" s="35" t="str">
        <f t="shared" si="2"/>
        <v/>
      </c>
      <c r="L83" s="35" t="str">
        <f t="shared" si="5"/>
        <v/>
      </c>
      <c r="M83" s="31">
        <f t="shared" si="4"/>
        <v>0</v>
      </c>
    </row>
    <row r="84" ht="12.75" customHeight="1">
      <c r="A84" s="33">
        <f t="shared" si="6"/>
        <v>51</v>
      </c>
      <c r="B84" s="27"/>
      <c r="C84" s="76"/>
      <c r="D84" s="76"/>
      <c r="E84" s="34"/>
      <c r="F84" s="34"/>
      <c r="G84" s="34"/>
      <c r="H84" s="34"/>
      <c r="I84" s="34"/>
      <c r="J84" s="35" t="str">
        <f t="shared" si="1"/>
        <v/>
      </c>
      <c r="K84" s="35" t="str">
        <f t="shared" si="2"/>
        <v/>
      </c>
      <c r="L84" s="35" t="str">
        <f t="shared" si="5"/>
        <v/>
      </c>
      <c r="M84" s="31">
        <f t="shared" si="4"/>
        <v>0</v>
      </c>
    </row>
    <row r="85" ht="12.75" customHeight="1">
      <c r="A85" s="33">
        <f t="shared" si="6"/>
        <v>51</v>
      </c>
      <c r="B85" s="27"/>
      <c r="C85" s="76"/>
      <c r="D85" s="76"/>
      <c r="E85" s="34"/>
      <c r="F85" s="34"/>
      <c r="G85" s="34"/>
      <c r="H85" s="34"/>
      <c r="I85" s="34"/>
      <c r="J85" s="35" t="str">
        <f t="shared" si="1"/>
        <v/>
      </c>
      <c r="K85" s="35" t="str">
        <f t="shared" si="2"/>
        <v/>
      </c>
      <c r="L85" s="35" t="str">
        <f t="shared" si="5"/>
        <v/>
      </c>
      <c r="M85" s="31">
        <f t="shared" si="4"/>
        <v>0</v>
      </c>
    </row>
    <row r="86" ht="12.75" customHeight="1">
      <c r="A86" s="33">
        <f t="shared" si="6"/>
        <v>51</v>
      </c>
      <c r="B86" s="27" t="s">
        <v>125</v>
      </c>
      <c r="C86" s="76"/>
      <c r="D86" s="76"/>
      <c r="E86" s="34">
        <v>36.15</v>
      </c>
      <c r="F86" s="34">
        <v>31.64</v>
      </c>
      <c r="G86" s="34">
        <v>26.21</v>
      </c>
      <c r="H86" s="34">
        <v>29.92</v>
      </c>
      <c r="I86" s="34">
        <v>24.43</v>
      </c>
      <c r="J86" s="35">
        <f t="shared" si="1"/>
        <v>24.43</v>
      </c>
      <c r="K86" s="35">
        <f t="shared" si="2"/>
        <v>36.15</v>
      </c>
      <c r="L86" s="35">
        <f t="shared" si="5"/>
        <v>29.26</v>
      </c>
      <c r="M86" s="31">
        <f t="shared" si="4"/>
        <v>0.0003386574074</v>
      </c>
    </row>
    <row r="87" ht="12.75" customHeight="1">
      <c r="A87" s="33">
        <f t="shared" si="6"/>
        <v>83</v>
      </c>
      <c r="B87" s="27" t="s">
        <v>125</v>
      </c>
      <c r="C87" s="76"/>
      <c r="D87" s="76"/>
      <c r="E87" s="34">
        <v>36.15</v>
      </c>
      <c r="F87" s="34">
        <v>31.64</v>
      </c>
      <c r="G87" s="34">
        <v>26.21</v>
      </c>
      <c r="H87" s="34">
        <v>29.92</v>
      </c>
      <c r="I87" s="34">
        <v>24.43</v>
      </c>
      <c r="J87" s="35">
        <f t="shared" si="1"/>
        <v>24.43</v>
      </c>
      <c r="K87" s="35">
        <f t="shared" si="2"/>
        <v>36.15</v>
      </c>
      <c r="L87" s="35">
        <f t="shared" si="5"/>
        <v>29.26</v>
      </c>
      <c r="M87" s="31">
        <f t="shared" si="4"/>
        <v>0.0003386574074</v>
      </c>
    </row>
    <row r="88" ht="12.75" customHeight="1">
      <c r="A88" s="33">
        <f t="shared" si="6"/>
        <v>83</v>
      </c>
      <c r="B88" s="27" t="s">
        <v>125</v>
      </c>
      <c r="C88" s="76"/>
      <c r="D88" s="76"/>
      <c r="E88" s="34">
        <v>36.15</v>
      </c>
      <c r="F88" s="34">
        <v>31.64</v>
      </c>
      <c r="G88" s="34">
        <v>26.21</v>
      </c>
      <c r="H88" s="34">
        <v>29.92</v>
      </c>
      <c r="I88" s="34">
        <v>24.43</v>
      </c>
      <c r="J88" s="35">
        <f t="shared" si="1"/>
        <v>24.43</v>
      </c>
      <c r="K88" s="35">
        <f t="shared" si="2"/>
        <v>36.15</v>
      </c>
      <c r="L88" s="35">
        <f t="shared" si="5"/>
        <v>29.26</v>
      </c>
      <c r="M88" s="31">
        <f t="shared" si="4"/>
        <v>0.0003386574074</v>
      </c>
    </row>
    <row r="89" ht="12.75" customHeight="1">
      <c r="A89" s="33">
        <f t="shared" si="6"/>
        <v>83</v>
      </c>
      <c r="B89" s="27" t="s">
        <v>125</v>
      </c>
      <c r="C89" s="76"/>
      <c r="D89" s="76"/>
      <c r="E89" s="34">
        <v>36.15</v>
      </c>
      <c r="F89" s="34">
        <v>31.64</v>
      </c>
      <c r="G89" s="34">
        <v>26.21</v>
      </c>
      <c r="H89" s="34">
        <v>29.92</v>
      </c>
      <c r="I89" s="34">
        <v>24.43</v>
      </c>
      <c r="J89" s="35">
        <f t="shared" si="1"/>
        <v>24.43</v>
      </c>
      <c r="K89" s="35">
        <f t="shared" si="2"/>
        <v>36.15</v>
      </c>
      <c r="L89" s="35">
        <f t="shared" si="5"/>
        <v>29.26</v>
      </c>
      <c r="M89" s="31">
        <f t="shared" si="4"/>
        <v>0.0003386574074</v>
      </c>
    </row>
    <row r="90" ht="12.75" customHeight="1">
      <c r="A90" s="33">
        <f t="shared" si="6"/>
        <v>83</v>
      </c>
      <c r="B90" s="27" t="s">
        <v>125</v>
      </c>
      <c r="C90" s="76"/>
      <c r="D90" s="76"/>
      <c r="E90" s="34">
        <v>36.15</v>
      </c>
      <c r="F90" s="34">
        <v>31.64</v>
      </c>
      <c r="G90" s="34">
        <v>26.21</v>
      </c>
      <c r="H90" s="34">
        <v>29.92</v>
      </c>
      <c r="I90" s="34">
        <v>24.43</v>
      </c>
      <c r="J90" s="35">
        <f t="shared" si="1"/>
        <v>24.43</v>
      </c>
      <c r="K90" s="35">
        <f t="shared" si="2"/>
        <v>36.15</v>
      </c>
      <c r="L90" s="35">
        <f t="shared" si="5"/>
        <v>29.26</v>
      </c>
      <c r="M90" s="31">
        <f t="shared" si="4"/>
        <v>0.0003386574074</v>
      </c>
    </row>
    <row r="91" ht="12.75" customHeight="1">
      <c r="A91" s="33">
        <f t="shared" si="6"/>
        <v>83</v>
      </c>
      <c r="B91" s="27" t="s">
        <v>125</v>
      </c>
      <c r="C91" s="76"/>
      <c r="D91" s="76"/>
      <c r="E91" s="34">
        <v>36.15</v>
      </c>
      <c r="F91" s="34">
        <v>31.64</v>
      </c>
      <c r="G91" s="34">
        <v>26.21</v>
      </c>
      <c r="H91" s="34">
        <v>29.92</v>
      </c>
      <c r="I91" s="34">
        <v>24.43</v>
      </c>
      <c r="J91" s="35">
        <f t="shared" si="1"/>
        <v>24.43</v>
      </c>
      <c r="K91" s="35">
        <f t="shared" si="2"/>
        <v>36.15</v>
      </c>
      <c r="L91" s="35">
        <f t="shared" si="5"/>
        <v>29.26</v>
      </c>
      <c r="M91" s="31">
        <f t="shared" si="4"/>
        <v>0.0003386574074</v>
      </c>
    </row>
    <row r="92" ht="12.75" customHeight="1">
      <c r="A92" s="33">
        <f t="shared" si="6"/>
        <v>83</v>
      </c>
      <c r="B92" s="27" t="s">
        <v>125</v>
      </c>
      <c r="C92" s="76"/>
      <c r="D92" s="76"/>
      <c r="E92" s="34">
        <v>36.15</v>
      </c>
      <c r="F92" s="34">
        <v>31.64</v>
      </c>
      <c r="G92" s="34">
        <v>26.21</v>
      </c>
      <c r="H92" s="34">
        <v>29.92</v>
      </c>
      <c r="I92" s="34">
        <v>24.43</v>
      </c>
      <c r="J92" s="35">
        <f t="shared" si="1"/>
        <v>24.43</v>
      </c>
      <c r="K92" s="35">
        <f t="shared" si="2"/>
        <v>36.15</v>
      </c>
      <c r="L92" s="35">
        <f t="shared" si="5"/>
        <v>29.26</v>
      </c>
      <c r="M92" s="31">
        <f t="shared" si="4"/>
        <v>0.0003386574074</v>
      </c>
    </row>
    <row r="93" ht="12.75" customHeight="1">
      <c r="A93" s="33">
        <f t="shared" si="6"/>
        <v>83</v>
      </c>
      <c r="B93" s="27" t="s">
        <v>125</v>
      </c>
      <c r="C93" s="76"/>
      <c r="D93" s="76"/>
      <c r="E93" s="34">
        <v>36.15</v>
      </c>
      <c r="F93" s="34">
        <v>31.64</v>
      </c>
      <c r="G93" s="34">
        <v>26.21</v>
      </c>
      <c r="H93" s="34">
        <v>29.92</v>
      </c>
      <c r="I93" s="34">
        <v>24.43</v>
      </c>
      <c r="J93" s="35">
        <f t="shared" si="1"/>
        <v>24.43</v>
      </c>
      <c r="K93" s="35">
        <f t="shared" si="2"/>
        <v>36.15</v>
      </c>
      <c r="L93" s="35">
        <f t="shared" si="5"/>
        <v>29.26</v>
      </c>
      <c r="M93" s="31">
        <f t="shared" si="4"/>
        <v>0.0003386574074</v>
      </c>
    </row>
    <row r="94" ht="12.75" customHeight="1">
      <c r="A94" s="33">
        <f t="shared" si="6"/>
        <v>83</v>
      </c>
      <c r="B94" s="27" t="s">
        <v>125</v>
      </c>
      <c r="C94" s="76"/>
      <c r="D94" s="76"/>
      <c r="E94" s="34">
        <v>36.15</v>
      </c>
      <c r="F94" s="34">
        <v>31.64</v>
      </c>
      <c r="G94" s="34">
        <v>26.21</v>
      </c>
      <c r="H94" s="34">
        <v>29.92</v>
      </c>
      <c r="I94" s="34">
        <v>24.43</v>
      </c>
      <c r="J94" s="35">
        <f t="shared" si="1"/>
        <v>24.43</v>
      </c>
      <c r="K94" s="35">
        <f t="shared" si="2"/>
        <v>36.15</v>
      </c>
      <c r="L94" s="35">
        <f t="shared" si="5"/>
        <v>29.26</v>
      </c>
      <c r="M94" s="31">
        <f t="shared" si="4"/>
        <v>0.0003386574074</v>
      </c>
    </row>
    <row r="95" ht="12.75" customHeight="1">
      <c r="A95" s="33">
        <f t="shared" si="6"/>
        <v>83</v>
      </c>
      <c r="B95" s="27" t="s">
        <v>125</v>
      </c>
      <c r="C95" s="76"/>
      <c r="D95" s="76"/>
      <c r="E95" s="34">
        <v>36.15</v>
      </c>
      <c r="F95" s="34">
        <v>31.64</v>
      </c>
      <c r="G95" s="34">
        <v>26.21</v>
      </c>
      <c r="H95" s="34">
        <v>29.92</v>
      </c>
      <c r="I95" s="34">
        <v>24.43</v>
      </c>
      <c r="J95" s="35">
        <f t="shared" si="1"/>
        <v>24.43</v>
      </c>
      <c r="K95" s="35">
        <f t="shared" si="2"/>
        <v>36.15</v>
      </c>
      <c r="L95" s="35">
        <f t="shared" si="5"/>
        <v>29.26</v>
      </c>
      <c r="M95" s="31">
        <f t="shared" si="4"/>
        <v>0.0003386574074</v>
      </c>
    </row>
    <row r="96" ht="12.75" customHeight="1">
      <c r="A96" s="33">
        <f t="shared" si="6"/>
        <v>83</v>
      </c>
      <c r="B96" s="27" t="s">
        <v>125</v>
      </c>
      <c r="C96" s="76"/>
      <c r="D96" s="76"/>
      <c r="E96" s="34">
        <v>36.15</v>
      </c>
      <c r="F96" s="34">
        <v>31.64</v>
      </c>
      <c r="G96" s="34">
        <v>26.21</v>
      </c>
      <c r="H96" s="34">
        <v>29.92</v>
      </c>
      <c r="I96" s="34">
        <v>24.43</v>
      </c>
      <c r="J96" s="35">
        <f t="shared" si="1"/>
        <v>24.43</v>
      </c>
      <c r="K96" s="35">
        <f t="shared" si="2"/>
        <v>36.15</v>
      </c>
      <c r="L96" s="35">
        <f t="shared" si="5"/>
        <v>29.26</v>
      </c>
      <c r="M96" s="31">
        <f t="shared" si="4"/>
        <v>0.0003386574074</v>
      </c>
    </row>
    <row r="97" ht="12.75" customHeight="1">
      <c r="A97" s="33">
        <f t="shared" si="6"/>
        <v>83</v>
      </c>
      <c r="B97" s="27" t="s">
        <v>125</v>
      </c>
      <c r="C97" s="76"/>
      <c r="D97" s="76"/>
      <c r="E97" s="34">
        <v>36.15</v>
      </c>
      <c r="F97" s="34">
        <v>31.64</v>
      </c>
      <c r="G97" s="34">
        <v>26.21</v>
      </c>
      <c r="H97" s="34">
        <v>29.92</v>
      </c>
      <c r="I97" s="34">
        <v>24.43</v>
      </c>
      <c r="J97" s="35">
        <f t="shared" si="1"/>
        <v>24.43</v>
      </c>
      <c r="K97" s="35">
        <f t="shared" si="2"/>
        <v>36.15</v>
      </c>
      <c r="L97" s="35">
        <f t="shared" si="5"/>
        <v>29.26</v>
      </c>
      <c r="M97" s="31">
        <f t="shared" si="4"/>
        <v>0.0003386574074</v>
      </c>
    </row>
    <row r="98" ht="12.75" customHeight="1">
      <c r="A98" s="33">
        <f t="shared" si="6"/>
        <v>83</v>
      </c>
      <c r="B98" s="27" t="s">
        <v>125</v>
      </c>
      <c r="C98" s="76"/>
      <c r="D98" s="76"/>
      <c r="E98" s="34">
        <v>36.15</v>
      </c>
      <c r="F98" s="34">
        <v>31.64</v>
      </c>
      <c r="G98" s="34">
        <v>26.21</v>
      </c>
      <c r="H98" s="34">
        <v>29.92</v>
      </c>
      <c r="I98" s="34">
        <v>24.43</v>
      </c>
      <c r="J98" s="35">
        <f t="shared" si="1"/>
        <v>24.43</v>
      </c>
      <c r="K98" s="35">
        <f t="shared" si="2"/>
        <v>36.15</v>
      </c>
      <c r="L98" s="35">
        <f t="shared" si="5"/>
        <v>29.26</v>
      </c>
      <c r="M98" s="31">
        <f t="shared" si="4"/>
        <v>0.0003386574074</v>
      </c>
    </row>
    <row r="99" ht="12.75" customHeight="1">
      <c r="A99" s="64"/>
    </row>
    <row r="100" ht="12.75" customHeight="1">
      <c r="A100" s="64"/>
    </row>
    <row r="101" ht="12.75" customHeight="1">
      <c r="A101" s="64"/>
    </row>
    <row r="102" ht="12.75" customHeight="1">
      <c r="A102" s="64"/>
    </row>
    <row r="103" ht="12.75" customHeight="1">
      <c r="A103" s="64"/>
    </row>
    <row r="104" ht="12.75" customHeight="1">
      <c r="A104" s="64"/>
    </row>
    <row r="105" ht="12.75" customHeight="1">
      <c r="A105" s="64"/>
    </row>
    <row r="106" ht="12.75" customHeight="1">
      <c r="A106" s="64"/>
    </row>
    <row r="107" ht="12.75" customHeight="1">
      <c r="A107" s="64"/>
    </row>
    <row r="108" ht="12.75" customHeight="1">
      <c r="A108" s="64"/>
    </row>
    <row r="109" ht="12.75" customHeight="1">
      <c r="A109" s="64"/>
    </row>
    <row r="110" ht="12.75" customHeight="1">
      <c r="A110" s="64"/>
    </row>
    <row r="111" ht="12.75" customHeight="1">
      <c r="A111" s="64"/>
    </row>
    <row r="112" ht="12.75" customHeight="1">
      <c r="A112" s="64"/>
    </row>
    <row r="113" ht="12.75" customHeight="1">
      <c r="A113" s="64"/>
    </row>
    <row r="114" ht="12.75" customHeight="1">
      <c r="A114" s="64"/>
    </row>
    <row r="115" ht="12.75" customHeight="1">
      <c r="A115" s="64"/>
    </row>
    <row r="116" ht="12.75" customHeight="1">
      <c r="A116" s="64"/>
    </row>
    <row r="117" ht="12.75" customHeight="1">
      <c r="A117" s="64"/>
    </row>
    <row r="118" ht="12.75" customHeight="1">
      <c r="A118" s="64"/>
    </row>
    <row r="119" ht="12.75" customHeight="1">
      <c r="A119" s="64"/>
    </row>
    <row r="120" ht="12.75" customHeight="1">
      <c r="A120" s="64"/>
    </row>
    <row r="121" ht="12.75" customHeight="1">
      <c r="A121" s="64"/>
    </row>
    <row r="122" ht="12.75" customHeight="1">
      <c r="A122" s="64"/>
    </row>
    <row r="123" ht="12.75" customHeight="1">
      <c r="A123" s="64"/>
    </row>
    <row r="124" ht="12.75" customHeight="1">
      <c r="A124" s="64"/>
    </row>
    <row r="125" ht="12.75" customHeight="1">
      <c r="A125" s="64"/>
    </row>
    <row r="126" ht="12.75" customHeight="1">
      <c r="A126" s="64"/>
    </row>
    <row r="127" ht="12.75" customHeight="1">
      <c r="A127" s="64"/>
    </row>
    <row r="128" ht="12.75" customHeight="1">
      <c r="A128" s="64"/>
    </row>
    <row r="129" ht="12.75" customHeight="1">
      <c r="A129" s="64"/>
    </row>
    <row r="130" ht="12.75" customHeight="1">
      <c r="A130" s="64"/>
    </row>
    <row r="131" ht="12.75" customHeight="1">
      <c r="A131" s="64"/>
    </row>
    <row r="132" ht="12.75" customHeight="1">
      <c r="A132" s="64"/>
    </row>
    <row r="133" ht="12.75" customHeight="1">
      <c r="A133" s="64"/>
    </row>
    <row r="134" ht="12.75" customHeight="1">
      <c r="A134" s="64"/>
    </row>
    <row r="135" ht="12.75" customHeight="1">
      <c r="A135" s="64"/>
    </row>
    <row r="136" ht="12.75" customHeight="1">
      <c r="A136" s="64"/>
    </row>
    <row r="137" ht="12.75" customHeight="1">
      <c r="A137" s="64"/>
    </row>
    <row r="138" ht="12.75" customHeight="1">
      <c r="A138" s="64"/>
    </row>
    <row r="139" ht="12.75" customHeight="1">
      <c r="A139" s="64"/>
    </row>
    <row r="140" ht="12.75" customHeight="1">
      <c r="A140" s="64"/>
    </row>
    <row r="141" ht="12.75" customHeight="1">
      <c r="A141" s="64"/>
    </row>
    <row r="142" ht="12.75" customHeight="1">
      <c r="A142" s="64"/>
    </row>
    <row r="143" ht="12.75" customHeight="1">
      <c r="A143" s="64"/>
    </row>
    <row r="144" ht="12.75" customHeight="1">
      <c r="A144" s="64"/>
    </row>
    <row r="145" ht="12.75" customHeight="1">
      <c r="A145" s="64"/>
    </row>
    <row r="146" ht="12.75" customHeight="1">
      <c r="A146" s="64"/>
    </row>
    <row r="147" ht="12.75" customHeight="1">
      <c r="A147" s="64"/>
    </row>
    <row r="148" ht="12.75" customHeight="1">
      <c r="A148" s="64"/>
    </row>
    <row r="149" ht="12.75" customHeight="1">
      <c r="A149" s="64"/>
    </row>
    <row r="150" ht="12.75" customHeight="1">
      <c r="A150" s="64"/>
    </row>
    <row r="151" ht="12.75" customHeight="1">
      <c r="A151" s="64"/>
    </row>
    <row r="152" ht="12.75" customHeight="1">
      <c r="A152" s="64"/>
    </row>
    <row r="153" ht="12.75" customHeight="1">
      <c r="A153" s="64"/>
    </row>
    <row r="154" ht="12.75" customHeight="1">
      <c r="A154" s="64"/>
    </row>
    <row r="155" ht="12.75" customHeight="1">
      <c r="A155" s="64"/>
    </row>
    <row r="156" ht="12.75" customHeight="1">
      <c r="A156" s="64"/>
    </row>
    <row r="157" ht="12.75" customHeight="1">
      <c r="A157" s="64"/>
    </row>
    <row r="158" ht="12.75" customHeight="1">
      <c r="A158" s="64"/>
    </row>
    <row r="159" ht="12.75" customHeight="1">
      <c r="A159" s="64"/>
    </row>
    <row r="160" ht="12.75" customHeight="1">
      <c r="A160" s="64"/>
    </row>
    <row r="161" ht="12.75" customHeight="1">
      <c r="A161" s="64"/>
    </row>
    <row r="162" ht="12.75" customHeight="1">
      <c r="A162" s="64"/>
    </row>
    <row r="163" ht="12.75" customHeight="1">
      <c r="A163" s="64"/>
    </row>
    <row r="164" ht="12.75" customHeight="1">
      <c r="A164" s="64"/>
    </row>
    <row r="165" ht="12.75" customHeight="1">
      <c r="A165" s="64"/>
    </row>
    <row r="166" ht="12.75" customHeight="1">
      <c r="A166" s="64"/>
    </row>
    <row r="167" ht="12.75" customHeight="1">
      <c r="A167" s="64"/>
    </row>
    <row r="168" ht="12.75" customHeight="1">
      <c r="A168" s="64"/>
    </row>
    <row r="169" ht="12.75" customHeight="1">
      <c r="A169" s="64"/>
    </row>
    <row r="170" ht="12.75" customHeight="1">
      <c r="A170" s="64"/>
    </row>
    <row r="171" ht="12.75" customHeight="1">
      <c r="A171" s="64"/>
    </row>
    <row r="172" ht="12.75" customHeight="1">
      <c r="A172" s="64"/>
    </row>
    <row r="173" ht="12.75" customHeight="1">
      <c r="A173" s="64"/>
    </row>
    <row r="174" ht="12.75" customHeight="1">
      <c r="A174" s="64"/>
    </row>
    <row r="175" ht="12.75" customHeight="1">
      <c r="A175" s="64"/>
    </row>
    <row r="176" ht="12.75" customHeight="1">
      <c r="A176" s="64"/>
    </row>
    <row r="177" ht="12.75" customHeight="1">
      <c r="A177" s="64"/>
    </row>
    <row r="178" ht="12.75" customHeight="1">
      <c r="A178" s="64"/>
    </row>
    <row r="179" ht="12.75" customHeight="1">
      <c r="A179" s="64"/>
    </row>
    <row r="180" ht="12.75" customHeight="1">
      <c r="A180" s="64"/>
    </row>
    <row r="181" ht="12.75" customHeight="1">
      <c r="A181" s="64"/>
    </row>
    <row r="182" ht="12.75" customHeight="1">
      <c r="A182" s="64"/>
    </row>
    <row r="183" ht="12.75" customHeight="1">
      <c r="A183" s="64"/>
    </row>
    <row r="184" ht="12.75" customHeight="1">
      <c r="A184" s="64"/>
    </row>
    <row r="185" ht="12.75" customHeight="1">
      <c r="A185" s="64"/>
    </row>
    <row r="186" ht="12.75" customHeight="1">
      <c r="A186" s="64"/>
    </row>
    <row r="187" ht="12.75" customHeight="1">
      <c r="A187" s="64"/>
    </row>
    <row r="188" ht="12.75" customHeight="1">
      <c r="A188" s="64"/>
    </row>
    <row r="189" ht="12.75" customHeight="1">
      <c r="A189" s="64"/>
    </row>
    <row r="190" ht="12.75" customHeight="1">
      <c r="A190" s="64"/>
    </row>
    <row r="191" ht="12.75" customHeight="1">
      <c r="A191" s="64"/>
    </row>
    <row r="192" ht="12.75" customHeight="1">
      <c r="A192" s="64"/>
    </row>
    <row r="193" ht="12.75" customHeight="1">
      <c r="A193" s="64"/>
    </row>
    <row r="194" ht="12.75" customHeight="1">
      <c r="A194" s="64"/>
    </row>
    <row r="195" ht="12.75" customHeight="1">
      <c r="A195" s="64"/>
    </row>
    <row r="196" ht="12.75" customHeight="1">
      <c r="A196" s="64"/>
    </row>
    <row r="197" ht="12.75" customHeight="1">
      <c r="A197" s="64"/>
    </row>
    <row r="198" ht="12.75" customHeight="1">
      <c r="A198" s="64"/>
    </row>
    <row r="199" ht="12.75" customHeight="1">
      <c r="A199" s="64"/>
    </row>
    <row r="200" ht="12.75" customHeight="1">
      <c r="A200" s="64"/>
    </row>
    <row r="201" ht="12.75" customHeight="1">
      <c r="A201" s="64"/>
    </row>
    <row r="202" ht="12.75" customHeight="1">
      <c r="A202" s="64"/>
    </row>
    <row r="203" ht="12.75" customHeight="1">
      <c r="A203" s="64"/>
    </row>
    <row r="204" ht="12.75" customHeight="1">
      <c r="A204" s="64"/>
    </row>
    <row r="205" ht="12.75" customHeight="1">
      <c r="A205" s="64"/>
    </row>
    <row r="206" ht="12.75" customHeight="1">
      <c r="A206" s="64"/>
    </row>
    <row r="207" ht="12.75" customHeight="1">
      <c r="A207" s="64"/>
    </row>
    <row r="208" ht="12.75" customHeight="1">
      <c r="A208" s="64"/>
    </row>
    <row r="209" ht="12.75" customHeight="1">
      <c r="A209" s="64"/>
    </row>
    <row r="210" ht="12.75" customHeight="1">
      <c r="A210" s="64"/>
    </row>
    <row r="211" ht="12.75" customHeight="1">
      <c r="A211" s="64"/>
    </row>
    <row r="212" ht="12.75" customHeight="1">
      <c r="A212" s="64"/>
    </row>
    <row r="213" ht="12.75" customHeight="1">
      <c r="A213" s="64"/>
    </row>
    <row r="214" ht="12.75" customHeight="1">
      <c r="A214" s="64"/>
    </row>
    <row r="215" ht="12.75" customHeight="1">
      <c r="A215" s="64"/>
    </row>
    <row r="216" ht="12.75" customHeight="1">
      <c r="A216" s="64"/>
    </row>
    <row r="217" ht="12.75" customHeight="1">
      <c r="A217" s="64"/>
    </row>
    <row r="218" ht="12.75" customHeight="1">
      <c r="A218" s="64"/>
    </row>
    <row r="219" ht="12.75" customHeight="1">
      <c r="A219" s="64"/>
    </row>
    <row r="220" ht="12.75" customHeight="1">
      <c r="A220" s="64"/>
    </row>
    <row r="221" ht="12.75" customHeight="1">
      <c r="A221" s="64"/>
    </row>
    <row r="222" ht="12.75" customHeight="1">
      <c r="A222" s="64"/>
    </row>
    <row r="223" ht="12.75" customHeight="1">
      <c r="A223" s="64"/>
    </row>
    <row r="224" ht="12.75" customHeight="1">
      <c r="A224" s="64"/>
    </row>
    <row r="225" ht="12.75" customHeight="1">
      <c r="A225" s="64"/>
    </row>
    <row r="226" ht="12.75" customHeight="1">
      <c r="A226" s="64"/>
    </row>
    <row r="227" ht="12.75" customHeight="1">
      <c r="A227" s="64"/>
    </row>
    <row r="228" ht="12.75" customHeight="1">
      <c r="A228" s="64"/>
    </row>
    <row r="229" ht="12.75" customHeight="1">
      <c r="A229" s="64"/>
    </row>
    <row r="230" ht="12.75" customHeight="1">
      <c r="A230" s="64"/>
    </row>
    <row r="231" ht="12.75" customHeight="1">
      <c r="A231" s="64"/>
    </row>
    <row r="232" ht="12.75" customHeight="1">
      <c r="A232" s="64"/>
    </row>
    <row r="233" ht="12.75" customHeight="1">
      <c r="A233" s="64"/>
    </row>
    <row r="234" ht="12.75" customHeight="1">
      <c r="A234" s="64"/>
    </row>
    <row r="235" ht="12.75" customHeight="1">
      <c r="A235" s="64"/>
    </row>
    <row r="236" ht="12.75" customHeight="1">
      <c r="A236" s="64"/>
    </row>
    <row r="237" ht="12.75" customHeight="1">
      <c r="A237" s="64"/>
    </row>
    <row r="238" ht="12.75" customHeight="1">
      <c r="A238" s="64"/>
    </row>
    <row r="239" ht="12.75" customHeight="1">
      <c r="A239" s="64"/>
    </row>
    <row r="240" ht="12.75" customHeight="1">
      <c r="A240" s="64"/>
    </row>
    <row r="241" ht="12.75" customHeight="1">
      <c r="A241" s="64"/>
    </row>
    <row r="242" ht="12.75" customHeight="1">
      <c r="A242" s="64"/>
    </row>
    <row r="243" ht="12.75" customHeight="1">
      <c r="A243" s="64"/>
    </row>
    <row r="244" ht="12.75" customHeight="1">
      <c r="A244" s="64"/>
    </row>
    <row r="245" ht="12.75" customHeight="1">
      <c r="A245" s="64"/>
    </row>
    <row r="246" ht="12.75" customHeight="1">
      <c r="A246" s="64"/>
    </row>
    <row r="247" ht="12.75" customHeight="1">
      <c r="A247" s="64"/>
    </row>
    <row r="248" ht="12.75" customHeight="1">
      <c r="A248" s="64"/>
    </row>
    <row r="249" ht="12.75" customHeight="1">
      <c r="A249" s="64"/>
    </row>
    <row r="250" ht="12.75" customHeight="1">
      <c r="A250" s="64"/>
    </row>
    <row r="251" ht="12.75" customHeight="1">
      <c r="A251" s="64"/>
    </row>
    <row r="252" ht="12.75" customHeight="1">
      <c r="A252" s="64"/>
    </row>
    <row r="253" ht="12.75" customHeight="1">
      <c r="A253" s="64"/>
    </row>
    <row r="254" ht="12.75" customHeight="1">
      <c r="A254" s="64"/>
    </row>
    <row r="255" ht="12.75" customHeight="1">
      <c r="A255" s="64"/>
    </row>
    <row r="256" ht="12.75" customHeight="1">
      <c r="A256" s="64"/>
    </row>
    <row r="257" ht="12.75" customHeight="1">
      <c r="A257" s="64"/>
    </row>
    <row r="258" ht="12.75" customHeight="1">
      <c r="A258" s="64"/>
    </row>
    <row r="259" ht="12.75" customHeight="1">
      <c r="A259" s="64"/>
    </row>
    <row r="260" ht="12.75" customHeight="1">
      <c r="A260" s="64"/>
    </row>
    <row r="261" ht="12.75" customHeight="1">
      <c r="A261" s="64"/>
    </row>
    <row r="262" ht="12.75" customHeight="1">
      <c r="A262" s="64"/>
    </row>
    <row r="263" ht="12.75" customHeight="1">
      <c r="A263" s="64"/>
    </row>
    <row r="264" ht="12.75" customHeight="1">
      <c r="A264" s="64"/>
    </row>
    <row r="265" ht="12.75" customHeight="1">
      <c r="A265" s="64"/>
    </row>
    <row r="266" ht="12.75" customHeight="1">
      <c r="A266" s="64"/>
    </row>
    <row r="267" ht="12.75" customHeight="1">
      <c r="A267" s="64"/>
    </row>
    <row r="268" ht="12.75" customHeight="1">
      <c r="A268" s="64"/>
    </row>
    <row r="269" ht="12.75" customHeight="1">
      <c r="A269" s="64"/>
    </row>
    <row r="270" ht="12.75" customHeight="1">
      <c r="A270" s="64"/>
    </row>
    <row r="271" ht="12.75" customHeight="1">
      <c r="A271" s="64"/>
    </row>
    <row r="272" ht="12.75" customHeight="1">
      <c r="A272" s="64"/>
    </row>
    <row r="273" ht="12.75" customHeight="1">
      <c r="A273" s="64"/>
    </row>
    <row r="274" ht="12.75" customHeight="1">
      <c r="A274" s="64"/>
    </row>
    <row r="275" ht="12.75" customHeight="1">
      <c r="A275" s="64"/>
    </row>
    <row r="276" ht="12.75" customHeight="1">
      <c r="A276" s="64"/>
    </row>
    <row r="277" ht="12.75" customHeight="1">
      <c r="A277" s="64"/>
    </row>
    <row r="278" ht="12.75" customHeight="1">
      <c r="A278" s="64"/>
    </row>
    <row r="279" ht="12.75" customHeight="1">
      <c r="A279" s="64"/>
    </row>
    <row r="280" ht="12.75" customHeight="1">
      <c r="A280" s="64"/>
    </row>
    <row r="281" ht="12.75" customHeight="1">
      <c r="A281" s="64"/>
    </row>
    <row r="282" ht="12.75" customHeight="1">
      <c r="A282" s="64"/>
    </row>
    <row r="283" ht="12.75" customHeight="1">
      <c r="A283" s="64"/>
    </row>
    <row r="284" ht="12.75" customHeight="1">
      <c r="A284" s="64"/>
    </row>
    <row r="285" ht="12.75" customHeight="1">
      <c r="A285" s="64"/>
    </row>
    <row r="286" ht="12.75" customHeight="1">
      <c r="A286" s="64"/>
    </row>
    <row r="287" ht="12.75" customHeight="1">
      <c r="A287" s="64"/>
    </row>
    <row r="288" ht="12.75" customHeight="1">
      <c r="A288" s="64"/>
    </row>
    <row r="289" ht="12.75" customHeight="1">
      <c r="A289" s="64"/>
    </row>
    <row r="290" ht="12.75" customHeight="1">
      <c r="A290" s="64"/>
    </row>
    <row r="291" ht="12.75" customHeight="1">
      <c r="A291" s="64"/>
    </row>
    <row r="292" ht="12.75" customHeight="1">
      <c r="A292" s="64"/>
    </row>
    <row r="293" ht="12.75" customHeight="1">
      <c r="A293" s="64"/>
    </row>
    <row r="294" ht="12.75" customHeight="1">
      <c r="A294" s="64"/>
    </row>
    <row r="295" ht="12.75" customHeight="1">
      <c r="A295" s="64"/>
    </row>
    <row r="296" ht="12.75" customHeight="1">
      <c r="A296" s="64"/>
    </row>
    <row r="297" ht="12.75" customHeight="1">
      <c r="A297" s="64"/>
    </row>
    <row r="298" ht="12.75" customHeight="1">
      <c r="A298" s="64"/>
    </row>
    <row r="299" ht="12.75" customHeight="1">
      <c r="A299" s="64"/>
    </row>
    <row r="300" ht="12.75" customHeight="1">
      <c r="A300" s="64"/>
    </row>
    <row r="301" ht="12.75" customHeight="1">
      <c r="A301" s="64"/>
    </row>
    <row r="302" ht="12.75" customHeight="1">
      <c r="A302" s="64"/>
    </row>
    <row r="303" ht="12.75" customHeight="1">
      <c r="A303" s="64"/>
    </row>
    <row r="304" ht="12.75" customHeight="1">
      <c r="A304" s="64"/>
    </row>
    <row r="305" ht="12.75" customHeight="1">
      <c r="A305" s="64"/>
    </row>
    <row r="306" ht="12.75" customHeight="1">
      <c r="A306" s="64"/>
    </row>
    <row r="307" ht="12.75" customHeight="1">
      <c r="A307" s="64"/>
    </row>
    <row r="308" ht="12.75" customHeight="1">
      <c r="A308" s="64"/>
    </row>
    <row r="309" ht="12.75" customHeight="1">
      <c r="A309" s="64"/>
    </row>
    <row r="310" ht="12.75" customHeight="1">
      <c r="A310" s="64"/>
    </row>
    <row r="311" ht="12.75" customHeight="1">
      <c r="A311" s="64"/>
    </row>
    <row r="312" ht="12.75" customHeight="1">
      <c r="A312" s="64"/>
    </row>
    <row r="313" ht="12.75" customHeight="1">
      <c r="A313" s="64"/>
    </row>
    <row r="314" ht="12.75" customHeight="1">
      <c r="A314" s="64"/>
    </row>
    <row r="315" ht="12.75" customHeight="1">
      <c r="A315" s="64"/>
    </row>
    <row r="316" ht="12.75" customHeight="1">
      <c r="A316" s="64"/>
    </row>
    <row r="317" ht="12.75" customHeight="1">
      <c r="A317" s="64"/>
    </row>
    <row r="318" ht="12.75" customHeight="1">
      <c r="A318" s="64"/>
    </row>
    <row r="319" ht="12.75" customHeight="1">
      <c r="A319" s="64"/>
    </row>
    <row r="320" ht="12.75" customHeight="1">
      <c r="A320" s="64"/>
    </row>
    <row r="321" ht="12.75" customHeight="1">
      <c r="A321" s="64"/>
    </row>
    <row r="322" ht="12.75" customHeight="1">
      <c r="A322" s="64"/>
    </row>
    <row r="323" ht="12.75" customHeight="1">
      <c r="A323" s="64"/>
    </row>
    <row r="324" ht="12.75" customHeight="1">
      <c r="A324" s="64"/>
    </row>
    <row r="325" ht="12.75" customHeight="1">
      <c r="A325" s="64"/>
    </row>
    <row r="326" ht="12.75" customHeight="1">
      <c r="A326" s="64"/>
    </row>
    <row r="327" ht="12.75" customHeight="1">
      <c r="A327" s="64"/>
    </row>
    <row r="328" ht="12.75" customHeight="1">
      <c r="A328" s="64"/>
    </row>
    <row r="329" ht="12.75" customHeight="1">
      <c r="A329" s="64"/>
    </row>
    <row r="330" ht="12.75" customHeight="1">
      <c r="A330" s="64"/>
    </row>
    <row r="331" ht="12.75" customHeight="1">
      <c r="A331" s="64"/>
    </row>
    <row r="332" ht="12.75" customHeight="1">
      <c r="A332" s="64"/>
    </row>
    <row r="333" ht="12.75" customHeight="1">
      <c r="A333" s="64"/>
    </row>
    <row r="334" ht="12.75" customHeight="1">
      <c r="A334" s="64"/>
    </row>
    <row r="335" ht="12.75" customHeight="1">
      <c r="A335" s="64"/>
    </row>
    <row r="336" ht="12.75" customHeight="1">
      <c r="A336" s="64"/>
    </row>
    <row r="337" ht="12.75" customHeight="1">
      <c r="A337" s="64"/>
    </row>
    <row r="338" ht="12.75" customHeight="1">
      <c r="A338" s="64"/>
    </row>
    <row r="339" ht="12.75" customHeight="1">
      <c r="A339" s="64"/>
    </row>
    <row r="340" ht="12.75" customHeight="1">
      <c r="A340" s="64"/>
    </row>
    <row r="341" ht="12.75" customHeight="1">
      <c r="A341" s="64"/>
    </row>
    <row r="342" ht="12.75" customHeight="1">
      <c r="A342" s="64"/>
    </row>
    <row r="343" ht="12.75" customHeight="1">
      <c r="A343" s="64"/>
    </row>
    <row r="344" ht="12.75" customHeight="1">
      <c r="A344" s="64"/>
    </row>
    <row r="345" ht="12.75" customHeight="1">
      <c r="A345" s="64"/>
    </row>
    <row r="346" ht="12.75" customHeight="1">
      <c r="A346" s="64"/>
    </row>
    <row r="347" ht="12.75" customHeight="1">
      <c r="A347" s="64"/>
    </row>
    <row r="348" ht="12.75" customHeight="1">
      <c r="A348" s="64"/>
    </row>
    <row r="349" ht="12.75" customHeight="1">
      <c r="A349" s="64"/>
    </row>
    <row r="350" ht="12.75" customHeight="1">
      <c r="A350" s="64"/>
    </row>
    <row r="351" ht="12.75" customHeight="1">
      <c r="A351" s="64"/>
    </row>
    <row r="352" ht="12.75" customHeight="1">
      <c r="A352" s="64"/>
    </row>
    <row r="353" ht="12.75" customHeight="1">
      <c r="A353" s="64"/>
    </row>
    <row r="354" ht="12.75" customHeight="1">
      <c r="A354" s="64"/>
    </row>
    <row r="355" ht="12.75" customHeight="1">
      <c r="A355" s="64"/>
    </row>
    <row r="356" ht="12.75" customHeight="1">
      <c r="A356" s="64"/>
    </row>
    <row r="357" ht="12.75" customHeight="1">
      <c r="A357" s="64"/>
    </row>
    <row r="358" ht="12.75" customHeight="1">
      <c r="A358" s="64"/>
    </row>
    <row r="359" ht="12.75" customHeight="1">
      <c r="A359" s="64"/>
    </row>
    <row r="360" ht="12.75" customHeight="1">
      <c r="A360" s="64"/>
    </row>
    <row r="361" ht="12.75" customHeight="1">
      <c r="A361" s="64"/>
    </row>
    <row r="362" ht="12.75" customHeight="1">
      <c r="A362" s="64"/>
    </row>
    <row r="363" ht="12.75" customHeight="1">
      <c r="A363" s="64"/>
    </row>
    <row r="364" ht="12.75" customHeight="1">
      <c r="A364" s="64"/>
    </row>
    <row r="365" ht="12.75" customHeight="1">
      <c r="A365" s="64"/>
    </row>
    <row r="366" ht="12.75" customHeight="1">
      <c r="A366" s="64"/>
    </row>
    <row r="367" ht="12.75" customHeight="1">
      <c r="A367" s="64"/>
    </row>
    <row r="368" ht="12.75" customHeight="1">
      <c r="A368" s="64"/>
    </row>
    <row r="369" ht="12.75" customHeight="1">
      <c r="A369" s="64"/>
    </row>
    <row r="370" ht="12.75" customHeight="1">
      <c r="A370" s="64"/>
    </row>
    <row r="371" ht="12.75" customHeight="1">
      <c r="A371" s="64"/>
    </row>
    <row r="372" ht="12.75" customHeight="1">
      <c r="A372" s="64"/>
    </row>
    <row r="373" ht="12.75" customHeight="1">
      <c r="A373" s="64"/>
    </row>
    <row r="374" ht="12.75" customHeight="1">
      <c r="A374" s="64"/>
    </row>
    <row r="375" ht="12.75" customHeight="1">
      <c r="A375" s="64"/>
    </row>
    <row r="376" ht="12.75" customHeight="1">
      <c r="A376" s="64"/>
    </row>
    <row r="377" ht="12.75" customHeight="1">
      <c r="A377" s="64"/>
    </row>
    <row r="378" ht="12.75" customHeight="1">
      <c r="A378" s="64"/>
    </row>
    <row r="379" ht="12.75" customHeight="1">
      <c r="A379" s="64"/>
    </row>
    <row r="380" ht="12.75" customHeight="1">
      <c r="A380" s="64"/>
    </row>
    <row r="381" ht="12.75" customHeight="1">
      <c r="A381" s="64"/>
    </row>
    <row r="382" ht="12.75" customHeight="1">
      <c r="A382" s="64"/>
    </row>
    <row r="383" ht="12.75" customHeight="1">
      <c r="A383" s="64"/>
    </row>
    <row r="384" ht="12.75" customHeight="1">
      <c r="A384" s="64"/>
    </row>
    <row r="385" ht="12.75" customHeight="1">
      <c r="A385" s="64"/>
    </row>
    <row r="386" ht="12.75" customHeight="1">
      <c r="A386" s="64"/>
    </row>
    <row r="387" ht="12.75" customHeight="1">
      <c r="A387" s="64"/>
    </row>
    <row r="388" ht="12.75" customHeight="1">
      <c r="A388" s="64"/>
    </row>
    <row r="389" ht="12.75" customHeight="1">
      <c r="A389" s="64"/>
    </row>
    <row r="390" ht="12.75" customHeight="1">
      <c r="A390" s="64"/>
    </row>
    <row r="391" ht="12.75" customHeight="1">
      <c r="A391" s="64"/>
    </row>
    <row r="392" ht="12.75" customHeight="1">
      <c r="A392" s="64"/>
    </row>
    <row r="393" ht="12.75" customHeight="1">
      <c r="A393" s="64"/>
    </row>
    <row r="394" ht="12.75" customHeight="1">
      <c r="A394" s="64"/>
    </row>
    <row r="395" ht="12.75" customHeight="1">
      <c r="A395" s="64"/>
    </row>
    <row r="396" ht="12.75" customHeight="1">
      <c r="A396" s="64"/>
    </row>
    <row r="397" ht="12.75" customHeight="1">
      <c r="A397" s="64"/>
    </row>
    <row r="398" ht="12.75" customHeight="1">
      <c r="A398" s="64"/>
    </row>
    <row r="399" ht="12.75" customHeight="1">
      <c r="A399" s="64"/>
    </row>
    <row r="400" ht="12.75" customHeight="1">
      <c r="A400" s="64"/>
    </row>
    <row r="401" ht="12.75" customHeight="1">
      <c r="A401" s="64"/>
    </row>
    <row r="402" ht="12.75" customHeight="1">
      <c r="A402" s="64"/>
    </row>
    <row r="403" ht="12.75" customHeight="1">
      <c r="A403" s="64"/>
    </row>
    <row r="404" ht="12.75" customHeight="1">
      <c r="A404" s="64"/>
    </row>
    <row r="405" ht="12.75" customHeight="1">
      <c r="A405" s="64"/>
    </row>
    <row r="406" ht="12.75" customHeight="1">
      <c r="A406" s="64"/>
    </row>
    <row r="407" ht="12.75" customHeight="1">
      <c r="A407" s="64"/>
    </row>
    <row r="408" ht="12.75" customHeight="1">
      <c r="A408" s="64"/>
    </row>
    <row r="409" ht="12.75" customHeight="1">
      <c r="A409" s="64"/>
    </row>
    <row r="410" ht="12.75" customHeight="1">
      <c r="A410" s="64"/>
    </row>
    <row r="411" ht="12.75" customHeight="1">
      <c r="A411" s="64"/>
    </row>
    <row r="412" ht="12.75" customHeight="1">
      <c r="A412" s="64"/>
    </row>
    <row r="413" ht="12.75" customHeight="1">
      <c r="A413" s="64"/>
    </row>
    <row r="414" ht="12.75" customHeight="1">
      <c r="A414" s="64"/>
    </row>
    <row r="415" ht="12.75" customHeight="1">
      <c r="A415" s="64"/>
    </row>
    <row r="416" ht="12.75" customHeight="1">
      <c r="A416" s="64"/>
    </row>
    <row r="417" ht="12.75" customHeight="1">
      <c r="A417" s="64"/>
    </row>
    <row r="418" ht="12.75" customHeight="1">
      <c r="A418" s="64"/>
    </row>
    <row r="419" ht="12.75" customHeight="1">
      <c r="A419" s="64"/>
    </row>
    <row r="420" ht="12.75" customHeight="1">
      <c r="A420" s="64"/>
    </row>
    <row r="421" ht="12.75" customHeight="1">
      <c r="A421" s="64"/>
    </row>
    <row r="422" ht="12.75" customHeight="1">
      <c r="A422" s="64"/>
    </row>
    <row r="423" ht="12.75" customHeight="1">
      <c r="A423" s="64"/>
    </row>
    <row r="424" ht="12.75" customHeight="1">
      <c r="A424" s="64"/>
    </row>
    <row r="425" ht="12.75" customHeight="1">
      <c r="A425" s="64"/>
    </row>
    <row r="426" ht="12.75" customHeight="1">
      <c r="A426" s="64"/>
    </row>
    <row r="427" ht="12.75" customHeight="1">
      <c r="A427" s="64"/>
    </row>
    <row r="428" ht="12.75" customHeight="1">
      <c r="A428" s="64"/>
    </row>
    <row r="429" ht="12.75" customHeight="1">
      <c r="A429" s="64"/>
    </row>
    <row r="430" ht="12.75" customHeight="1">
      <c r="A430" s="64"/>
    </row>
    <row r="431" ht="12.75" customHeight="1">
      <c r="A431" s="64"/>
    </row>
    <row r="432" ht="12.75" customHeight="1">
      <c r="A432" s="64"/>
    </row>
    <row r="433" ht="12.75" customHeight="1">
      <c r="A433" s="64"/>
    </row>
    <row r="434" ht="12.75" customHeight="1">
      <c r="A434" s="64"/>
    </row>
    <row r="435" ht="12.75" customHeight="1">
      <c r="A435" s="64"/>
    </row>
    <row r="436" ht="12.75" customHeight="1">
      <c r="A436" s="64"/>
    </row>
    <row r="437" ht="12.75" customHeight="1">
      <c r="A437" s="64"/>
    </row>
    <row r="438" ht="12.75" customHeight="1">
      <c r="A438" s="64"/>
    </row>
    <row r="439" ht="12.75" customHeight="1">
      <c r="A439" s="64"/>
    </row>
    <row r="440" ht="12.75" customHeight="1">
      <c r="A440" s="64"/>
    </row>
    <row r="441" ht="12.75" customHeight="1">
      <c r="A441" s="64"/>
    </row>
    <row r="442" ht="12.75" customHeight="1">
      <c r="A442" s="64"/>
    </row>
    <row r="443" ht="12.75" customHeight="1">
      <c r="A443" s="64"/>
    </row>
    <row r="444" ht="12.75" customHeight="1">
      <c r="A444" s="64"/>
    </row>
    <row r="445" ht="12.75" customHeight="1">
      <c r="A445" s="64"/>
    </row>
    <row r="446" ht="12.75" customHeight="1">
      <c r="A446" s="64"/>
    </row>
    <row r="447" ht="12.75" customHeight="1">
      <c r="A447" s="64"/>
    </row>
    <row r="448" ht="12.75" customHeight="1">
      <c r="A448" s="64"/>
    </row>
    <row r="449" ht="12.75" customHeight="1">
      <c r="A449" s="64"/>
    </row>
    <row r="450" ht="12.75" customHeight="1">
      <c r="A450" s="64"/>
    </row>
    <row r="451" ht="12.75" customHeight="1">
      <c r="A451" s="64"/>
    </row>
    <row r="452" ht="12.75" customHeight="1">
      <c r="A452" s="64"/>
    </row>
    <row r="453" ht="12.75" customHeight="1">
      <c r="A453" s="64"/>
    </row>
    <row r="454" ht="12.75" customHeight="1">
      <c r="A454" s="64"/>
    </row>
    <row r="455" ht="12.75" customHeight="1">
      <c r="A455" s="64"/>
    </row>
    <row r="456" ht="12.75" customHeight="1">
      <c r="A456" s="64"/>
    </row>
    <row r="457" ht="12.75" customHeight="1">
      <c r="A457" s="64"/>
    </row>
    <row r="458" ht="12.75" customHeight="1">
      <c r="A458" s="64"/>
    </row>
    <row r="459" ht="12.75" customHeight="1">
      <c r="A459" s="64"/>
    </row>
    <row r="460" ht="12.75" customHeight="1">
      <c r="A460" s="64"/>
    </row>
    <row r="461" ht="12.75" customHeight="1">
      <c r="A461" s="64"/>
    </row>
    <row r="462" ht="12.75" customHeight="1">
      <c r="A462" s="64"/>
    </row>
    <row r="463" ht="12.75" customHeight="1">
      <c r="A463" s="64"/>
    </row>
    <row r="464" ht="12.75" customHeight="1">
      <c r="A464" s="64"/>
    </row>
    <row r="465" ht="12.75" customHeight="1">
      <c r="A465" s="64"/>
    </row>
    <row r="466" ht="12.75" customHeight="1">
      <c r="A466" s="64"/>
    </row>
    <row r="467" ht="12.75" customHeight="1">
      <c r="A467" s="64"/>
    </row>
    <row r="468" ht="12.75" customHeight="1">
      <c r="A468" s="64"/>
    </row>
    <row r="469" ht="12.75" customHeight="1">
      <c r="A469" s="64"/>
    </row>
    <row r="470" ht="12.75" customHeight="1">
      <c r="A470" s="64"/>
    </row>
    <row r="471" ht="12.75" customHeight="1">
      <c r="A471" s="64"/>
    </row>
    <row r="472" ht="12.75" customHeight="1">
      <c r="A472" s="64"/>
    </row>
    <row r="473" ht="12.75" customHeight="1">
      <c r="A473" s="64"/>
    </row>
    <row r="474" ht="12.75" customHeight="1">
      <c r="A474" s="64"/>
    </row>
    <row r="475" ht="12.75" customHeight="1">
      <c r="A475" s="64"/>
    </row>
    <row r="476" ht="12.75" customHeight="1">
      <c r="A476" s="64"/>
    </row>
    <row r="477" ht="12.75" customHeight="1">
      <c r="A477" s="64"/>
    </row>
    <row r="478" ht="12.75" customHeight="1">
      <c r="A478" s="64"/>
    </row>
    <row r="479" ht="12.75" customHeight="1">
      <c r="A479" s="64"/>
    </row>
    <row r="480" ht="12.75" customHeight="1">
      <c r="A480" s="64"/>
    </row>
    <row r="481" ht="12.75" customHeight="1">
      <c r="A481" s="64"/>
    </row>
    <row r="482" ht="12.75" customHeight="1">
      <c r="A482" s="64"/>
    </row>
    <row r="483" ht="12.75" customHeight="1">
      <c r="A483" s="64"/>
    </row>
    <row r="484" ht="12.75" customHeight="1">
      <c r="A484" s="64"/>
    </row>
    <row r="485" ht="12.75" customHeight="1">
      <c r="A485" s="64"/>
    </row>
    <row r="486" ht="12.75" customHeight="1">
      <c r="A486" s="64"/>
    </row>
    <row r="487" ht="12.75" customHeight="1">
      <c r="A487" s="64"/>
    </row>
    <row r="488" ht="12.75" customHeight="1">
      <c r="A488" s="64"/>
    </row>
    <row r="489" ht="12.75" customHeight="1">
      <c r="A489" s="64"/>
    </row>
    <row r="490" ht="12.75" customHeight="1">
      <c r="A490" s="64"/>
    </row>
    <row r="491" ht="12.75" customHeight="1">
      <c r="A491" s="64"/>
    </row>
    <row r="492" ht="12.75" customHeight="1">
      <c r="A492" s="64"/>
    </row>
    <row r="493" ht="12.75" customHeight="1">
      <c r="A493" s="64"/>
    </row>
    <row r="494" ht="12.75" customHeight="1">
      <c r="A494" s="64"/>
    </row>
    <row r="495" ht="12.75" customHeight="1">
      <c r="A495" s="64"/>
    </row>
    <row r="496" ht="12.75" customHeight="1">
      <c r="A496" s="64"/>
    </row>
    <row r="497" ht="12.75" customHeight="1">
      <c r="A497" s="64"/>
    </row>
    <row r="498" ht="12.75" customHeight="1">
      <c r="A498" s="64"/>
    </row>
    <row r="499" ht="12.75" customHeight="1">
      <c r="A499" s="64"/>
    </row>
    <row r="500" ht="12.75" customHeight="1">
      <c r="A500" s="64"/>
    </row>
    <row r="501" ht="12.75" customHeight="1">
      <c r="A501" s="64"/>
    </row>
    <row r="502" ht="12.75" customHeight="1">
      <c r="A502" s="64"/>
    </row>
    <row r="503" ht="12.75" customHeight="1">
      <c r="A503" s="64"/>
    </row>
    <row r="504" ht="12.75" customHeight="1">
      <c r="A504" s="64"/>
    </row>
    <row r="505" ht="12.75" customHeight="1">
      <c r="A505" s="64"/>
    </row>
    <row r="506" ht="12.75" customHeight="1">
      <c r="A506" s="64"/>
    </row>
    <row r="507" ht="12.75" customHeight="1">
      <c r="A507" s="64"/>
    </row>
    <row r="508" ht="12.75" customHeight="1">
      <c r="A508" s="64"/>
    </row>
    <row r="509" ht="12.75" customHeight="1">
      <c r="A509" s="64"/>
    </row>
    <row r="510" ht="12.75" customHeight="1">
      <c r="A510" s="64"/>
    </row>
    <row r="511" ht="12.75" customHeight="1">
      <c r="A511" s="64"/>
    </row>
    <row r="512" ht="12.75" customHeight="1">
      <c r="A512" s="64"/>
    </row>
    <row r="513" ht="12.75" customHeight="1">
      <c r="A513" s="64"/>
    </row>
    <row r="514" ht="12.75" customHeight="1">
      <c r="A514" s="64"/>
    </row>
    <row r="515" ht="12.75" customHeight="1">
      <c r="A515" s="64"/>
    </row>
    <row r="516" ht="12.75" customHeight="1">
      <c r="A516" s="64"/>
    </row>
    <row r="517" ht="12.75" customHeight="1">
      <c r="A517" s="64"/>
    </row>
    <row r="518" ht="12.75" customHeight="1">
      <c r="A518" s="64"/>
    </row>
    <row r="519" ht="12.75" customHeight="1">
      <c r="A519" s="64"/>
    </row>
    <row r="520" ht="12.75" customHeight="1">
      <c r="A520" s="64"/>
    </row>
    <row r="521" ht="12.75" customHeight="1">
      <c r="A521" s="64"/>
    </row>
    <row r="522" ht="12.75" customHeight="1">
      <c r="A522" s="64"/>
    </row>
    <row r="523" ht="12.75" customHeight="1">
      <c r="A523" s="64"/>
    </row>
    <row r="524" ht="12.75" customHeight="1">
      <c r="A524" s="64"/>
    </row>
    <row r="525" ht="12.75" customHeight="1">
      <c r="A525" s="64"/>
    </row>
    <row r="526" ht="12.75" customHeight="1">
      <c r="A526" s="64"/>
    </row>
    <row r="527" ht="12.75" customHeight="1">
      <c r="A527" s="64"/>
    </row>
    <row r="528" ht="12.75" customHeight="1">
      <c r="A528" s="64"/>
    </row>
    <row r="529" ht="12.75" customHeight="1">
      <c r="A529" s="64"/>
    </row>
    <row r="530" ht="12.75" customHeight="1">
      <c r="A530" s="64"/>
    </row>
    <row r="531" ht="12.75" customHeight="1">
      <c r="A531" s="64"/>
    </row>
    <row r="532" ht="12.75" customHeight="1">
      <c r="A532" s="64"/>
    </row>
    <row r="533" ht="12.75" customHeight="1">
      <c r="A533" s="64"/>
    </row>
    <row r="534" ht="12.75" customHeight="1">
      <c r="A534" s="64"/>
    </row>
    <row r="535" ht="12.75" customHeight="1">
      <c r="A535" s="64"/>
    </row>
    <row r="536" ht="12.75" customHeight="1">
      <c r="A536" s="64"/>
    </row>
    <row r="537" ht="12.75" customHeight="1">
      <c r="A537" s="64"/>
    </row>
    <row r="538" ht="12.75" customHeight="1">
      <c r="A538" s="64"/>
    </row>
    <row r="539" ht="12.75" customHeight="1">
      <c r="A539" s="64"/>
    </row>
    <row r="540" ht="12.75" customHeight="1">
      <c r="A540" s="64"/>
    </row>
    <row r="541" ht="12.75" customHeight="1">
      <c r="A541" s="64"/>
    </row>
    <row r="542" ht="12.75" customHeight="1">
      <c r="A542" s="64"/>
    </row>
    <row r="543" ht="12.75" customHeight="1">
      <c r="A543" s="64"/>
    </row>
    <row r="544" ht="12.75" customHeight="1">
      <c r="A544" s="64"/>
    </row>
    <row r="545" ht="12.75" customHeight="1">
      <c r="A545" s="64"/>
    </row>
    <row r="546" ht="12.75" customHeight="1">
      <c r="A546" s="64"/>
    </row>
    <row r="547" ht="12.75" customHeight="1">
      <c r="A547" s="64"/>
    </row>
    <row r="548" ht="12.75" customHeight="1">
      <c r="A548" s="64"/>
    </row>
    <row r="549" ht="12.75" customHeight="1">
      <c r="A549" s="64"/>
    </row>
    <row r="550" ht="12.75" customHeight="1">
      <c r="A550" s="64"/>
    </row>
    <row r="551" ht="12.75" customHeight="1">
      <c r="A551" s="64"/>
    </row>
    <row r="552" ht="12.75" customHeight="1">
      <c r="A552" s="64"/>
    </row>
    <row r="553" ht="12.75" customHeight="1">
      <c r="A553" s="64"/>
    </row>
    <row r="554" ht="12.75" customHeight="1">
      <c r="A554" s="64"/>
    </row>
    <row r="555" ht="12.75" customHeight="1">
      <c r="A555" s="64"/>
    </row>
    <row r="556" ht="12.75" customHeight="1">
      <c r="A556" s="64"/>
    </row>
    <row r="557" ht="12.75" customHeight="1">
      <c r="A557" s="64"/>
    </row>
    <row r="558" ht="12.75" customHeight="1">
      <c r="A558" s="64"/>
    </row>
    <row r="559" ht="12.75" customHeight="1">
      <c r="A559" s="64"/>
    </row>
    <row r="560" ht="12.75" customHeight="1">
      <c r="A560" s="64"/>
    </row>
    <row r="561" ht="12.75" customHeight="1">
      <c r="A561" s="64"/>
    </row>
    <row r="562" ht="12.75" customHeight="1">
      <c r="A562" s="64"/>
    </row>
    <row r="563" ht="12.75" customHeight="1">
      <c r="A563" s="64"/>
    </row>
    <row r="564" ht="12.75" customHeight="1">
      <c r="A564" s="64"/>
    </row>
    <row r="565" ht="12.75" customHeight="1">
      <c r="A565" s="64"/>
    </row>
    <row r="566" ht="12.75" customHeight="1">
      <c r="A566" s="64"/>
    </row>
    <row r="567" ht="12.75" customHeight="1">
      <c r="A567" s="64"/>
    </row>
    <row r="568" ht="12.75" customHeight="1">
      <c r="A568" s="64"/>
    </row>
    <row r="569" ht="12.75" customHeight="1">
      <c r="A569" s="64"/>
    </row>
    <row r="570" ht="12.75" customHeight="1">
      <c r="A570" s="64"/>
    </row>
    <row r="571" ht="12.75" customHeight="1">
      <c r="A571" s="64"/>
    </row>
    <row r="572" ht="12.75" customHeight="1">
      <c r="A572" s="64"/>
    </row>
    <row r="573" ht="12.75" customHeight="1">
      <c r="A573" s="64"/>
    </row>
    <row r="574" ht="12.75" customHeight="1">
      <c r="A574" s="64"/>
    </row>
    <row r="575" ht="12.75" customHeight="1">
      <c r="A575" s="64"/>
    </row>
    <row r="576" ht="12.75" customHeight="1">
      <c r="A576" s="64"/>
    </row>
    <row r="577" ht="12.75" customHeight="1">
      <c r="A577" s="64"/>
    </row>
    <row r="578" ht="12.75" customHeight="1">
      <c r="A578" s="64"/>
    </row>
    <row r="579" ht="12.75" customHeight="1">
      <c r="A579" s="64"/>
    </row>
    <row r="580" ht="12.75" customHeight="1">
      <c r="A580" s="64"/>
    </row>
    <row r="581" ht="12.75" customHeight="1">
      <c r="A581" s="64"/>
    </row>
    <row r="582" ht="12.75" customHeight="1">
      <c r="A582" s="64"/>
    </row>
    <row r="583" ht="12.75" customHeight="1">
      <c r="A583" s="64"/>
    </row>
    <row r="584" ht="12.75" customHeight="1">
      <c r="A584" s="64"/>
    </row>
    <row r="585" ht="12.75" customHeight="1">
      <c r="A585" s="64"/>
    </row>
    <row r="586" ht="12.75" customHeight="1">
      <c r="A586" s="64"/>
    </row>
    <row r="587" ht="12.75" customHeight="1">
      <c r="A587" s="64"/>
    </row>
    <row r="588" ht="12.75" customHeight="1">
      <c r="A588" s="64"/>
    </row>
    <row r="589" ht="12.75" customHeight="1">
      <c r="A589" s="64"/>
    </row>
    <row r="590" ht="12.75" customHeight="1">
      <c r="A590" s="64"/>
    </row>
    <row r="591" ht="12.75" customHeight="1">
      <c r="A591" s="64"/>
    </row>
    <row r="592" ht="12.75" customHeight="1">
      <c r="A592" s="64"/>
    </row>
    <row r="593" ht="12.75" customHeight="1">
      <c r="A593" s="64"/>
    </row>
    <row r="594" ht="12.75" customHeight="1">
      <c r="A594" s="64"/>
    </row>
    <row r="595" ht="12.75" customHeight="1">
      <c r="A595" s="64"/>
    </row>
    <row r="596" ht="12.75" customHeight="1">
      <c r="A596" s="64"/>
    </row>
    <row r="597" ht="12.75" customHeight="1">
      <c r="A597" s="64"/>
    </row>
    <row r="598" ht="12.75" customHeight="1">
      <c r="A598" s="64"/>
    </row>
    <row r="599" ht="12.75" customHeight="1">
      <c r="A599" s="64"/>
    </row>
    <row r="600" ht="12.75" customHeight="1">
      <c r="A600" s="64"/>
    </row>
    <row r="601" ht="12.75" customHeight="1">
      <c r="A601" s="64"/>
    </row>
    <row r="602" ht="12.75" customHeight="1">
      <c r="A602" s="64"/>
    </row>
    <row r="603" ht="12.75" customHeight="1">
      <c r="A603" s="64"/>
    </row>
    <row r="604" ht="12.75" customHeight="1">
      <c r="A604" s="64"/>
    </row>
    <row r="605" ht="12.75" customHeight="1">
      <c r="A605" s="64"/>
    </row>
    <row r="606" ht="12.75" customHeight="1">
      <c r="A606" s="64"/>
    </row>
    <row r="607" ht="12.75" customHeight="1">
      <c r="A607" s="64"/>
    </row>
    <row r="608" ht="12.75" customHeight="1">
      <c r="A608" s="64"/>
    </row>
    <row r="609" ht="12.75" customHeight="1">
      <c r="A609" s="64"/>
    </row>
    <row r="610" ht="12.75" customHeight="1">
      <c r="A610" s="64"/>
    </row>
    <row r="611" ht="12.75" customHeight="1">
      <c r="A611" s="64"/>
    </row>
    <row r="612" ht="12.75" customHeight="1">
      <c r="A612" s="64"/>
    </row>
    <row r="613" ht="12.75" customHeight="1">
      <c r="A613" s="64"/>
    </row>
    <row r="614" ht="12.75" customHeight="1">
      <c r="A614" s="64"/>
    </row>
    <row r="615" ht="12.75" customHeight="1">
      <c r="A615" s="64"/>
    </row>
    <row r="616" ht="12.75" customHeight="1">
      <c r="A616" s="64"/>
    </row>
    <row r="617" ht="12.75" customHeight="1">
      <c r="A617" s="64"/>
    </row>
    <row r="618" ht="12.75" customHeight="1">
      <c r="A618" s="64"/>
    </row>
    <row r="619" ht="12.75" customHeight="1">
      <c r="A619" s="64"/>
    </row>
    <row r="620" ht="12.75" customHeight="1">
      <c r="A620" s="64"/>
    </row>
    <row r="621" ht="12.75" customHeight="1">
      <c r="A621" s="64"/>
    </row>
    <row r="622" ht="12.75" customHeight="1">
      <c r="A622" s="64"/>
    </row>
    <row r="623" ht="12.75" customHeight="1">
      <c r="A623" s="64"/>
    </row>
    <row r="624" ht="12.75" customHeight="1">
      <c r="A624" s="64"/>
    </row>
    <row r="625" ht="12.75" customHeight="1">
      <c r="A625" s="64"/>
    </row>
    <row r="626" ht="12.75" customHeight="1">
      <c r="A626" s="64"/>
    </row>
    <row r="627" ht="12.75" customHeight="1">
      <c r="A627" s="64"/>
    </row>
    <row r="628" ht="12.75" customHeight="1">
      <c r="A628" s="64"/>
    </row>
    <row r="629" ht="12.75" customHeight="1">
      <c r="A629" s="64"/>
    </row>
    <row r="630" ht="12.75" customHeight="1">
      <c r="A630" s="64"/>
    </row>
    <row r="631" ht="12.75" customHeight="1">
      <c r="A631" s="64"/>
    </row>
    <row r="632" ht="12.75" customHeight="1">
      <c r="A632" s="64"/>
    </row>
    <row r="633" ht="12.75" customHeight="1">
      <c r="A633" s="64"/>
    </row>
    <row r="634" ht="12.75" customHeight="1">
      <c r="A634" s="64"/>
    </row>
    <row r="635" ht="12.75" customHeight="1">
      <c r="A635" s="64"/>
    </row>
    <row r="636" ht="12.75" customHeight="1">
      <c r="A636" s="64"/>
    </row>
    <row r="637" ht="12.75" customHeight="1">
      <c r="A637" s="64"/>
    </row>
    <row r="638" ht="12.75" customHeight="1">
      <c r="A638" s="64"/>
    </row>
    <row r="639" ht="12.75" customHeight="1">
      <c r="A639" s="64"/>
    </row>
    <row r="640" ht="12.75" customHeight="1">
      <c r="A640" s="64"/>
    </row>
    <row r="641" ht="12.75" customHeight="1">
      <c r="A641" s="64"/>
    </row>
    <row r="642" ht="12.75" customHeight="1">
      <c r="A642" s="64"/>
    </row>
    <row r="643" ht="12.75" customHeight="1">
      <c r="A643" s="64"/>
    </row>
    <row r="644" ht="12.75" customHeight="1">
      <c r="A644" s="64"/>
    </row>
    <row r="645" ht="12.75" customHeight="1">
      <c r="A645" s="64"/>
    </row>
    <row r="646" ht="12.75" customHeight="1">
      <c r="A646" s="64"/>
    </row>
    <row r="647" ht="12.75" customHeight="1">
      <c r="A647" s="64"/>
    </row>
    <row r="648" ht="12.75" customHeight="1">
      <c r="A648" s="64"/>
    </row>
    <row r="649" ht="12.75" customHeight="1">
      <c r="A649" s="64"/>
    </row>
    <row r="650" ht="12.75" customHeight="1">
      <c r="A650" s="64"/>
    </row>
    <row r="651" ht="12.75" customHeight="1">
      <c r="A651" s="64"/>
    </row>
    <row r="652" ht="12.75" customHeight="1">
      <c r="A652" s="64"/>
    </row>
    <row r="653" ht="12.75" customHeight="1">
      <c r="A653" s="64"/>
    </row>
    <row r="654" ht="12.75" customHeight="1">
      <c r="A654" s="64"/>
    </row>
    <row r="655" ht="12.75" customHeight="1">
      <c r="A655" s="64"/>
    </row>
    <row r="656" ht="12.75" customHeight="1">
      <c r="A656" s="64"/>
    </row>
    <row r="657" ht="12.75" customHeight="1">
      <c r="A657" s="64"/>
    </row>
    <row r="658" ht="12.75" customHeight="1">
      <c r="A658" s="64"/>
    </row>
    <row r="659" ht="12.75" customHeight="1">
      <c r="A659" s="64"/>
    </row>
    <row r="660" ht="12.75" customHeight="1">
      <c r="A660" s="64"/>
    </row>
    <row r="661" ht="12.75" customHeight="1">
      <c r="A661" s="64"/>
    </row>
    <row r="662" ht="12.75" customHeight="1">
      <c r="A662" s="64"/>
    </row>
    <row r="663" ht="12.75" customHeight="1">
      <c r="A663" s="64"/>
    </row>
    <row r="664" ht="12.75" customHeight="1">
      <c r="A664" s="64"/>
    </row>
    <row r="665" ht="12.75" customHeight="1">
      <c r="A665" s="64"/>
    </row>
    <row r="666" ht="12.75" customHeight="1">
      <c r="A666" s="64"/>
    </row>
    <row r="667" ht="12.75" customHeight="1">
      <c r="A667" s="64"/>
    </row>
    <row r="668" ht="12.75" customHeight="1">
      <c r="A668" s="64"/>
    </row>
    <row r="669" ht="12.75" customHeight="1">
      <c r="A669" s="64"/>
    </row>
    <row r="670" ht="12.75" customHeight="1">
      <c r="A670" s="64"/>
    </row>
    <row r="671" ht="12.75" customHeight="1">
      <c r="A671" s="64"/>
    </row>
    <row r="672" ht="12.75" customHeight="1">
      <c r="A672" s="64"/>
    </row>
    <row r="673" ht="12.75" customHeight="1">
      <c r="A673" s="64"/>
    </row>
    <row r="674" ht="12.75" customHeight="1">
      <c r="A674" s="64"/>
    </row>
    <row r="675" ht="12.75" customHeight="1">
      <c r="A675" s="64"/>
    </row>
    <row r="676" ht="12.75" customHeight="1">
      <c r="A676" s="64"/>
    </row>
    <row r="677" ht="12.75" customHeight="1">
      <c r="A677" s="64"/>
    </row>
    <row r="678" ht="12.75" customHeight="1">
      <c r="A678" s="64"/>
    </row>
    <row r="679" ht="12.75" customHeight="1">
      <c r="A679" s="64"/>
    </row>
    <row r="680" ht="12.75" customHeight="1">
      <c r="A680" s="64"/>
    </row>
    <row r="681" ht="12.75" customHeight="1">
      <c r="A681" s="64"/>
    </row>
    <row r="682" ht="12.75" customHeight="1">
      <c r="A682" s="64"/>
    </row>
    <row r="683" ht="12.75" customHeight="1">
      <c r="A683" s="64"/>
    </row>
    <row r="684" ht="12.75" customHeight="1">
      <c r="A684" s="64"/>
    </row>
    <row r="685" ht="12.75" customHeight="1">
      <c r="A685" s="64"/>
    </row>
    <row r="686" ht="12.75" customHeight="1">
      <c r="A686" s="64"/>
    </row>
    <row r="687" ht="12.75" customHeight="1">
      <c r="A687" s="64"/>
    </row>
    <row r="688" ht="12.75" customHeight="1">
      <c r="A688" s="64"/>
    </row>
    <row r="689" ht="12.75" customHeight="1">
      <c r="A689" s="64"/>
    </row>
    <row r="690" ht="12.75" customHeight="1">
      <c r="A690" s="64"/>
    </row>
    <row r="691" ht="12.75" customHeight="1">
      <c r="A691" s="64"/>
    </row>
    <row r="692" ht="12.75" customHeight="1">
      <c r="A692" s="64"/>
    </row>
    <row r="693" ht="12.75" customHeight="1">
      <c r="A693" s="64"/>
    </row>
    <row r="694" ht="12.75" customHeight="1">
      <c r="A694" s="64"/>
    </row>
    <row r="695" ht="12.75" customHeight="1">
      <c r="A695" s="64"/>
    </row>
    <row r="696" ht="12.75" customHeight="1">
      <c r="A696" s="64"/>
    </row>
    <row r="697" ht="12.75" customHeight="1">
      <c r="A697" s="64"/>
    </row>
    <row r="698" ht="12.75" customHeight="1">
      <c r="A698" s="64"/>
    </row>
    <row r="699" ht="12.75" customHeight="1">
      <c r="A699" s="64"/>
    </row>
    <row r="700" ht="12.75" customHeight="1">
      <c r="A700" s="64"/>
    </row>
    <row r="701" ht="12.75" customHeight="1">
      <c r="A701" s="64"/>
    </row>
    <row r="702" ht="12.75" customHeight="1">
      <c r="A702" s="64"/>
    </row>
    <row r="703" ht="12.75" customHeight="1">
      <c r="A703" s="64"/>
    </row>
    <row r="704" ht="12.75" customHeight="1">
      <c r="A704" s="64"/>
    </row>
    <row r="705" ht="12.75" customHeight="1">
      <c r="A705" s="64"/>
    </row>
    <row r="706" ht="12.75" customHeight="1">
      <c r="A706" s="64"/>
    </row>
    <row r="707" ht="12.75" customHeight="1">
      <c r="A707" s="64"/>
    </row>
    <row r="708" ht="12.75" customHeight="1">
      <c r="A708" s="64"/>
    </row>
    <row r="709" ht="12.75" customHeight="1">
      <c r="A709" s="64"/>
    </row>
    <row r="710" ht="12.75" customHeight="1">
      <c r="A710" s="64"/>
    </row>
    <row r="711" ht="12.75" customHeight="1">
      <c r="A711" s="64"/>
    </row>
    <row r="712" ht="12.75" customHeight="1">
      <c r="A712" s="64"/>
    </row>
    <row r="713" ht="12.75" customHeight="1">
      <c r="A713" s="64"/>
    </row>
    <row r="714" ht="12.75" customHeight="1">
      <c r="A714" s="64"/>
    </row>
    <row r="715" ht="12.75" customHeight="1">
      <c r="A715" s="64"/>
    </row>
    <row r="716" ht="12.75" customHeight="1">
      <c r="A716" s="64"/>
    </row>
    <row r="717" ht="12.75" customHeight="1">
      <c r="A717" s="64"/>
    </row>
    <row r="718" ht="12.75" customHeight="1">
      <c r="A718" s="64"/>
    </row>
    <row r="719" ht="12.75" customHeight="1">
      <c r="A719" s="64"/>
    </row>
    <row r="720" ht="12.75" customHeight="1">
      <c r="A720" s="64"/>
    </row>
    <row r="721" ht="12.75" customHeight="1">
      <c r="A721" s="64"/>
    </row>
    <row r="722" ht="12.75" customHeight="1">
      <c r="A722" s="64"/>
    </row>
    <row r="723" ht="12.75" customHeight="1">
      <c r="A723" s="64"/>
    </row>
    <row r="724" ht="12.75" customHeight="1">
      <c r="A724" s="64"/>
    </row>
    <row r="725" ht="12.75" customHeight="1">
      <c r="A725" s="64"/>
    </row>
    <row r="726" ht="12.75" customHeight="1">
      <c r="A726" s="64"/>
    </row>
    <row r="727" ht="12.75" customHeight="1">
      <c r="A727" s="64"/>
    </row>
    <row r="728" ht="12.75" customHeight="1">
      <c r="A728" s="64"/>
    </row>
    <row r="729" ht="12.75" customHeight="1">
      <c r="A729" s="64"/>
    </row>
    <row r="730" ht="12.75" customHeight="1">
      <c r="A730" s="64"/>
    </row>
    <row r="731" ht="12.75" customHeight="1">
      <c r="A731" s="64"/>
    </row>
    <row r="732" ht="12.75" customHeight="1">
      <c r="A732" s="64"/>
    </row>
    <row r="733" ht="12.75" customHeight="1">
      <c r="A733" s="64"/>
    </row>
    <row r="734" ht="12.75" customHeight="1">
      <c r="A734" s="64"/>
    </row>
    <row r="735" ht="12.75" customHeight="1">
      <c r="A735" s="64"/>
    </row>
    <row r="736" ht="12.75" customHeight="1">
      <c r="A736" s="64"/>
    </row>
    <row r="737" ht="12.75" customHeight="1">
      <c r="A737" s="64"/>
    </row>
    <row r="738" ht="12.75" customHeight="1">
      <c r="A738" s="64"/>
    </row>
    <row r="739" ht="12.75" customHeight="1">
      <c r="A739" s="64"/>
    </row>
    <row r="740" ht="12.75" customHeight="1">
      <c r="A740" s="64"/>
    </row>
    <row r="741" ht="12.75" customHeight="1">
      <c r="A741" s="64"/>
    </row>
    <row r="742" ht="12.75" customHeight="1">
      <c r="A742" s="64"/>
    </row>
    <row r="743" ht="12.75" customHeight="1">
      <c r="A743" s="64"/>
    </row>
    <row r="744" ht="12.75" customHeight="1">
      <c r="A744" s="64"/>
    </row>
    <row r="745" ht="12.75" customHeight="1">
      <c r="A745" s="64"/>
    </row>
    <row r="746" ht="12.75" customHeight="1">
      <c r="A746" s="64"/>
    </row>
    <row r="747" ht="12.75" customHeight="1">
      <c r="A747" s="64"/>
    </row>
    <row r="748" ht="12.75" customHeight="1">
      <c r="A748" s="64"/>
    </row>
    <row r="749" ht="12.75" customHeight="1">
      <c r="A749" s="64"/>
    </row>
    <row r="750" ht="12.75" customHeight="1">
      <c r="A750" s="64"/>
    </row>
    <row r="751" ht="12.75" customHeight="1">
      <c r="A751" s="64"/>
    </row>
    <row r="752" ht="12.75" customHeight="1">
      <c r="A752" s="64"/>
    </row>
    <row r="753" ht="12.75" customHeight="1">
      <c r="A753" s="64"/>
    </row>
    <row r="754" ht="12.75" customHeight="1">
      <c r="A754" s="64"/>
    </row>
    <row r="755" ht="12.75" customHeight="1">
      <c r="A755" s="64"/>
    </row>
    <row r="756" ht="12.75" customHeight="1">
      <c r="A756" s="64"/>
    </row>
    <row r="757" ht="12.75" customHeight="1">
      <c r="A757" s="64"/>
    </row>
    <row r="758" ht="12.75" customHeight="1">
      <c r="A758" s="64"/>
    </row>
    <row r="759" ht="12.75" customHeight="1">
      <c r="A759" s="64"/>
    </row>
    <row r="760" ht="12.75" customHeight="1">
      <c r="A760" s="64"/>
    </row>
    <row r="761" ht="12.75" customHeight="1">
      <c r="A761" s="64"/>
    </row>
    <row r="762" ht="12.75" customHeight="1">
      <c r="A762" s="64"/>
    </row>
    <row r="763" ht="12.75" customHeight="1">
      <c r="A763" s="64"/>
    </row>
    <row r="764" ht="12.75" customHeight="1">
      <c r="A764" s="64"/>
    </row>
    <row r="765" ht="12.75" customHeight="1">
      <c r="A765" s="64"/>
    </row>
    <row r="766" ht="12.75" customHeight="1">
      <c r="A766" s="64"/>
    </row>
    <row r="767" ht="12.75" customHeight="1">
      <c r="A767" s="64"/>
    </row>
    <row r="768" ht="12.75" customHeight="1">
      <c r="A768" s="64"/>
    </row>
    <row r="769" ht="12.75" customHeight="1">
      <c r="A769" s="64"/>
    </row>
    <row r="770" ht="12.75" customHeight="1">
      <c r="A770" s="64"/>
    </row>
    <row r="771" ht="12.75" customHeight="1">
      <c r="A771" s="64"/>
    </row>
    <row r="772" ht="12.75" customHeight="1">
      <c r="A772" s="64"/>
    </row>
    <row r="773" ht="12.75" customHeight="1">
      <c r="A773" s="64"/>
    </row>
    <row r="774" ht="12.75" customHeight="1">
      <c r="A774" s="64"/>
    </row>
    <row r="775" ht="12.75" customHeight="1">
      <c r="A775" s="64"/>
    </row>
    <row r="776" ht="12.75" customHeight="1">
      <c r="A776" s="64"/>
    </row>
    <row r="777" ht="12.75" customHeight="1">
      <c r="A777" s="64"/>
    </row>
    <row r="778" ht="12.75" customHeight="1">
      <c r="A778" s="64"/>
    </row>
    <row r="779" ht="12.75" customHeight="1">
      <c r="A779" s="64"/>
    </row>
    <row r="780" ht="12.75" customHeight="1">
      <c r="A780" s="64"/>
    </row>
    <row r="781" ht="12.75" customHeight="1">
      <c r="A781" s="64"/>
    </row>
    <row r="782" ht="12.75" customHeight="1">
      <c r="A782" s="64"/>
    </row>
    <row r="783" ht="12.75" customHeight="1">
      <c r="A783" s="64"/>
    </row>
    <row r="784" ht="12.75" customHeight="1">
      <c r="A784" s="64"/>
    </row>
    <row r="785" ht="12.75" customHeight="1">
      <c r="A785" s="64"/>
    </row>
    <row r="786" ht="12.75" customHeight="1">
      <c r="A786" s="64"/>
    </row>
    <row r="787" ht="12.75" customHeight="1">
      <c r="A787" s="64"/>
    </row>
    <row r="788" ht="12.75" customHeight="1">
      <c r="A788" s="64"/>
    </row>
    <row r="789" ht="12.75" customHeight="1">
      <c r="A789" s="64"/>
    </row>
    <row r="790" ht="12.75" customHeight="1">
      <c r="A790" s="64"/>
    </row>
    <row r="791" ht="12.75" customHeight="1">
      <c r="A791" s="64"/>
    </row>
    <row r="792" ht="12.75" customHeight="1">
      <c r="A792" s="64"/>
    </row>
    <row r="793" ht="12.75" customHeight="1">
      <c r="A793" s="64"/>
    </row>
    <row r="794" ht="12.75" customHeight="1">
      <c r="A794" s="64"/>
    </row>
    <row r="795" ht="12.75" customHeight="1">
      <c r="A795" s="64"/>
    </row>
    <row r="796" ht="12.75" customHeight="1">
      <c r="A796" s="64"/>
    </row>
    <row r="797" ht="12.75" customHeight="1">
      <c r="A797" s="64"/>
    </row>
    <row r="798" ht="12.75" customHeight="1">
      <c r="A798" s="64"/>
    </row>
    <row r="799" ht="12.75" customHeight="1">
      <c r="A799" s="64"/>
    </row>
    <row r="800" ht="12.75" customHeight="1">
      <c r="A800" s="64"/>
    </row>
    <row r="801" ht="12.75" customHeight="1">
      <c r="A801" s="64"/>
    </row>
    <row r="802" ht="12.75" customHeight="1">
      <c r="A802" s="64"/>
    </row>
    <row r="803" ht="12.75" customHeight="1">
      <c r="A803" s="64"/>
    </row>
    <row r="804" ht="12.75" customHeight="1">
      <c r="A804" s="64"/>
    </row>
    <row r="805" ht="12.75" customHeight="1">
      <c r="A805" s="64"/>
    </row>
    <row r="806" ht="12.75" customHeight="1">
      <c r="A806" s="64"/>
    </row>
    <row r="807" ht="12.75" customHeight="1">
      <c r="A807" s="64"/>
    </row>
    <row r="808" ht="12.75" customHeight="1">
      <c r="A808" s="64"/>
    </row>
    <row r="809" ht="12.75" customHeight="1">
      <c r="A809" s="64"/>
    </row>
    <row r="810" ht="12.75" customHeight="1">
      <c r="A810" s="64"/>
    </row>
    <row r="811" ht="12.75" customHeight="1">
      <c r="A811" s="64"/>
    </row>
    <row r="812" ht="12.75" customHeight="1">
      <c r="A812" s="64"/>
    </row>
    <row r="813" ht="12.75" customHeight="1">
      <c r="A813" s="64"/>
    </row>
    <row r="814" ht="12.75" customHeight="1">
      <c r="A814" s="64"/>
    </row>
    <row r="815" ht="12.75" customHeight="1">
      <c r="A815" s="64"/>
    </row>
    <row r="816" ht="12.75" customHeight="1">
      <c r="A816" s="64"/>
    </row>
    <row r="817" ht="12.75" customHeight="1">
      <c r="A817" s="64"/>
    </row>
    <row r="818" ht="12.75" customHeight="1">
      <c r="A818" s="64"/>
    </row>
    <row r="819" ht="12.75" customHeight="1">
      <c r="A819" s="64"/>
    </row>
    <row r="820" ht="12.75" customHeight="1">
      <c r="A820" s="64"/>
    </row>
    <row r="821" ht="12.75" customHeight="1">
      <c r="A821" s="64"/>
    </row>
    <row r="822" ht="12.75" customHeight="1">
      <c r="A822" s="64"/>
    </row>
    <row r="823" ht="12.75" customHeight="1">
      <c r="A823" s="64"/>
    </row>
    <row r="824" ht="12.75" customHeight="1">
      <c r="A824" s="64"/>
    </row>
    <row r="825" ht="12.75" customHeight="1">
      <c r="A825" s="64"/>
    </row>
    <row r="826" ht="12.75" customHeight="1">
      <c r="A826" s="64"/>
    </row>
    <row r="827" ht="12.75" customHeight="1">
      <c r="A827" s="64"/>
    </row>
    <row r="828" ht="12.75" customHeight="1">
      <c r="A828" s="64"/>
    </row>
    <row r="829" ht="12.75" customHeight="1">
      <c r="A829" s="64"/>
    </row>
    <row r="830" ht="12.75" customHeight="1">
      <c r="A830" s="64"/>
    </row>
    <row r="831" ht="12.75" customHeight="1">
      <c r="A831" s="64"/>
    </row>
    <row r="832" ht="12.75" customHeight="1">
      <c r="A832" s="64"/>
    </row>
    <row r="833" ht="12.75" customHeight="1">
      <c r="A833" s="64"/>
    </row>
    <row r="834" ht="12.75" customHeight="1">
      <c r="A834" s="64"/>
    </row>
    <row r="835" ht="12.75" customHeight="1">
      <c r="A835" s="64"/>
    </row>
    <row r="836" ht="12.75" customHeight="1">
      <c r="A836" s="64"/>
    </row>
    <row r="837" ht="12.75" customHeight="1">
      <c r="A837" s="64"/>
    </row>
    <row r="838" ht="12.75" customHeight="1">
      <c r="A838" s="64"/>
    </row>
    <row r="839" ht="12.75" customHeight="1">
      <c r="A839" s="64"/>
    </row>
    <row r="840" ht="12.75" customHeight="1">
      <c r="A840" s="64"/>
    </row>
    <row r="841" ht="12.75" customHeight="1">
      <c r="A841" s="64"/>
    </row>
    <row r="842" ht="12.75" customHeight="1">
      <c r="A842" s="64"/>
    </row>
    <row r="843" ht="12.75" customHeight="1">
      <c r="A843" s="64"/>
    </row>
    <row r="844" ht="12.75" customHeight="1">
      <c r="A844" s="64"/>
    </row>
    <row r="845" ht="12.75" customHeight="1">
      <c r="A845" s="64"/>
    </row>
    <row r="846" ht="12.75" customHeight="1">
      <c r="A846" s="64"/>
    </row>
    <row r="847" ht="12.75" customHeight="1">
      <c r="A847" s="64"/>
    </row>
    <row r="848" ht="12.75" customHeight="1">
      <c r="A848" s="64"/>
    </row>
    <row r="849" ht="12.75" customHeight="1">
      <c r="A849" s="64"/>
    </row>
    <row r="850" ht="12.75" customHeight="1">
      <c r="A850" s="64"/>
    </row>
    <row r="851" ht="12.75" customHeight="1">
      <c r="A851" s="64"/>
    </row>
    <row r="852" ht="12.75" customHeight="1">
      <c r="A852" s="64"/>
    </row>
    <row r="853" ht="12.75" customHeight="1">
      <c r="A853" s="64"/>
    </row>
    <row r="854" ht="12.75" customHeight="1">
      <c r="A854" s="64"/>
    </row>
    <row r="855" ht="12.75" customHeight="1">
      <c r="A855" s="64"/>
    </row>
    <row r="856" ht="12.75" customHeight="1">
      <c r="A856" s="64"/>
    </row>
    <row r="857" ht="12.75" customHeight="1">
      <c r="A857" s="64"/>
    </row>
    <row r="858" ht="12.75" customHeight="1">
      <c r="A858" s="64"/>
    </row>
    <row r="859" ht="12.75" customHeight="1">
      <c r="A859" s="64"/>
    </row>
    <row r="860" ht="12.75" customHeight="1">
      <c r="A860" s="64"/>
    </row>
    <row r="861" ht="12.75" customHeight="1">
      <c r="A861" s="64"/>
    </row>
    <row r="862" ht="12.75" customHeight="1">
      <c r="A862" s="64"/>
    </row>
    <row r="863" ht="12.75" customHeight="1">
      <c r="A863" s="64"/>
    </row>
    <row r="864" ht="12.75" customHeight="1">
      <c r="A864" s="64"/>
    </row>
    <row r="865" ht="12.75" customHeight="1">
      <c r="A865" s="64"/>
    </row>
    <row r="866" ht="12.75" customHeight="1">
      <c r="A866" s="64"/>
    </row>
    <row r="867" ht="12.75" customHeight="1">
      <c r="A867" s="64"/>
    </row>
    <row r="868" ht="12.75" customHeight="1">
      <c r="A868" s="64"/>
    </row>
    <row r="869" ht="12.75" customHeight="1">
      <c r="A869" s="64"/>
    </row>
    <row r="870" ht="12.75" customHeight="1">
      <c r="A870" s="64"/>
    </row>
    <row r="871" ht="12.75" customHeight="1">
      <c r="A871" s="64"/>
    </row>
    <row r="872" ht="12.75" customHeight="1">
      <c r="A872" s="64"/>
    </row>
    <row r="873" ht="12.75" customHeight="1">
      <c r="A873" s="64"/>
    </row>
    <row r="874" ht="12.75" customHeight="1">
      <c r="A874" s="64"/>
    </row>
    <row r="875" ht="12.75" customHeight="1">
      <c r="A875" s="64"/>
    </row>
    <row r="876" ht="12.75" customHeight="1">
      <c r="A876" s="64"/>
    </row>
    <row r="877" ht="12.75" customHeight="1">
      <c r="A877" s="64"/>
    </row>
    <row r="878" ht="12.75" customHeight="1">
      <c r="A878" s="64"/>
    </row>
    <row r="879" ht="12.75" customHeight="1">
      <c r="A879" s="64"/>
    </row>
    <row r="880" ht="12.75" customHeight="1">
      <c r="A880" s="64"/>
    </row>
    <row r="881" ht="12.75" customHeight="1">
      <c r="A881" s="64"/>
    </row>
    <row r="882" ht="12.75" customHeight="1">
      <c r="A882" s="64"/>
    </row>
    <row r="883" ht="12.75" customHeight="1">
      <c r="A883" s="64"/>
    </row>
    <row r="884" ht="12.75" customHeight="1">
      <c r="A884" s="64"/>
    </row>
    <row r="885" ht="12.75" customHeight="1">
      <c r="A885" s="64"/>
    </row>
    <row r="886" ht="12.75" customHeight="1">
      <c r="A886" s="64"/>
    </row>
    <row r="887" ht="12.75" customHeight="1">
      <c r="A887" s="64"/>
    </row>
    <row r="888" ht="12.75" customHeight="1">
      <c r="A888" s="64"/>
    </row>
    <row r="889" ht="12.75" customHeight="1">
      <c r="A889" s="64"/>
    </row>
    <row r="890" ht="12.75" customHeight="1">
      <c r="A890" s="64"/>
    </row>
    <row r="891" ht="12.75" customHeight="1">
      <c r="A891" s="64"/>
    </row>
    <row r="892" ht="12.75" customHeight="1">
      <c r="A892" s="64"/>
    </row>
    <row r="893" ht="12.75" customHeight="1">
      <c r="A893" s="64"/>
    </row>
    <row r="894" ht="12.75" customHeight="1">
      <c r="A894" s="64"/>
    </row>
    <row r="895" ht="12.75" customHeight="1">
      <c r="A895" s="64"/>
    </row>
    <row r="896" ht="12.75" customHeight="1">
      <c r="A896" s="64"/>
    </row>
    <row r="897" ht="12.75" customHeight="1">
      <c r="A897" s="64"/>
    </row>
    <row r="898" ht="12.75" customHeight="1">
      <c r="A898" s="64"/>
    </row>
    <row r="899" ht="12.75" customHeight="1">
      <c r="A899" s="64"/>
    </row>
    <row r="900" ht="12.75" customHeight="1">
      <c r="A900" s="64"/>
    </row>
    <row r="901" ht="12.75" customHeight="1">
      <c r="A901" s="64"/>
    </row>
    <row r="902" ht="12.75" customHeight="1">
      <c r="A902" s="64"/>
    </row>
    <row r="903" ht="12.75" customHeight="1">
      <c r="A903" s="64"/>
    </row>
    <row r="904" ht="12.75" customHeight="1">
      <c r="A904" s="64"/>
    </row>
    <row r="905" ht="12.75" customHeight="1">
      <c r="A905" s="64"/>
    </row>
    <row r="906" ht="12.75" customHeight="1">
      <c r="A906" s="64"/>
    </row>
    <row r="907" ht="12.75" customHeight="1">
      <c r="A907" s="64"/>
    </row>
    <row r="908" ht="12.75" customHeight="1">
      <c r="A908" s="64"/>
    </row>
    <row r="909" ht="12.75" customHeight="1">
      <c r="A909" s="64"/>
    </row>
    <row r="910" ht="12.75" customHeight="1">
      <c r="A910" s="64"/>
    </row>
    <row r="911" ht="12.75" customHeight="1">
      <c r="A911" s="64"/>
    </row>
    <row r="912" ht="12.75" customHeight="1">
      <c r="A912" s="64"/>
    </row>
    <row r="913" ht="12.75" customHeight="1">
      <c r="A913" s="64"/>
    </row>
    <row r="914" ht="12.75" customHeight="1">
      <c r="A914" s="64"/>
    </row>
    <row r="915" ht="12.75" customHeight="1">
      <c r="A915" s="64"/>
    </row>
    <row r="916" ht="12.75" customHeight="1">
      <c r="A916" s="64"/>
    </row>
    <row r="917" ht="12.75" customHeight="1">
      <c r="A917" s="64"/>
    </row>
    <row r="918" ht="12.75" customHeight="1">
      <c r="A918" s="64"/>
    </row>
    <row r="919" ht="12.75" customHeight="1">
      <c r="A919" s="64"/>
    </row>
    <row r="920" ht="12.75" customHeight="1">
      <c r="A920" s="64"/>
    </row>
    <row r="921" ht="12.75" customHeight="1">
      <c r="A921" s="64"/>
    </row>
    <row r="922" ht="12.75" customHeight="1">
      <c r="A922" s="64"/>
    </row>
    <row r="923" ht="12.75" customHeight="1">
      <c r="A923" s="64"/>
    </row>
    <row r="924" ht="12.75" customHeight="1">
      <c r="A924" s="64"/>
    </row>
    <row r="925" ht="12.75" customHeight="1">
      <c r="A925" s="64"/>
    </row>
    <row r="926" ht="12.75" customHeight="1">
      <c r="A926" s="64"/>
    </row>
    <row r="927" ht="12.75" customHeight="1">
      <c r="A927" s="64"/>
    </row>
    <row r="928" ht="12.75" customHeight="1">
      <c r="A928" s="64"/>
    </row>
    <row r="929" ht="12.75" customHeight="1">
      <c r="A929" s="64"/>
    </row>
    <row r="930" ht="12.75" customHeight="1">
      <c r="A930" s="64"/>
    </row>
    <row r="931" ht="12.75" customHeight="1">
      <c r="A931" s="64"/>
    </row>
    <row r="932" ht="12.75" customHeight="1">
      <c r="A932" s="64"/>
    </row>
    <row r="933" ht="12.75" customHeight="1">
      <c r="A933" s="64"/>
    </row>
    <row r="934" ht="12.75" customHeight="1">
      <c r="A934" s="64"/>
    </row>
    <row r="935" ht="12.75" customHeight="1">
      <c r="A935" s="64"/>
    </row>
    <row r="936" ht="12.75" customHeight="1">
      <c r="A936" s="64"/>
    </row>
    <row r="937" ht="12.75" customHeight="1">
      <c r="A937" s="64"/>
    </row>
    <row r="938" ht="12.75" customHeight="1">
      <c r="A938" s="64"/>
    </row>
    <row r="939" ht="12.75" customHeight="1">
      <c r="A939" s="64"/>
    </row>
    <row r="940" ht="12.75" customHeight="1">
      <c r="A940" s="64"/>
    </row>
    <row r="941" ht="12.75" customHeight="1">
      <c r="A941" s="64"/>
    </row>
    <row r="942" ht="12.75" customHeight="1">
      <c r="A942" s="64"/>
    </row>
    <row r="943" ht="12.75" customHeight="1">
      <c r="A943" s="64"/>
    </row>
    <row r="944" ht="12.75" customHeight="1">
      <c r="A944" s="64"/>
    </row>
    <row r="945" ht="12.75" customHeight="1">
      <c r="A945" s="64"/>
    </row>
    <row r="946" ht="12.75" customHeight="1">
      <c r="A946" s="64"/>
    </row>
    <row r="947" ht="12.75" customHeight="1">
      <c r="A947" s="64"/>
    </row>
    <row r="948" ht="12.75" customHeight="1">
      <c r="A948" s="64"/>
    </row>
    <row r="949" ht="12.75" customHeight="1">
      <c r="A949" s="64"/>
    </row>
    <row r="950" ht="12.75" customHeight="1">
      <c r="A950" s="64"/>
    </row>
    <row r="951" ht="12.75" customHeight="1">
      <c r="A951" s="64"/>
    </row>
    <row r="952" ht="12.75" customHeight="1">
      <c r="A952" s="64"/>
    </row>
    <row r="953" ht="12.75" customHeight="1">
      <c r="A953" s="64"/>
    </row>
    <row r="954" ht="12.75" customHeight="1">
      <c r="A954" s="64"/>
    </row>
    <row r="955" ht="12.75" customHeight="1">
      <c r="A955" s="64"/>
    </row>
    <row r="956" ht="12.75" customHeight="1">
      <c r="A956" s="64"/>
    </row>
    <row r="957" ht="12.75" customHeight="1">
      <c r="A957" s="64"/>
    </row>
    <row r="958" ht="12.75" customHeight="1">
      <c r="A958" s="64"/>
    </row>
    <row r="959" ht="12.75" customHeight="1">
      <c r="A959" s="64"/>
    </row>
    <row r="960" ht="12.75" customHeight="1">
      <c r="A960" s="64"/>
    </row>
    <row r="961" ht="12.75" customHeight="1">
      <c r="A961" s="64"/>
    </row>
    <row r="962" ht="12.75" customHeight="1">
      <c r="A962" s="64"/>
    </row>
    <row r="963" ht="12.75" customHeight="1">
      <c r="A963" s="64"/>
    </row>
    <row r="964" ht="12.75" customHeight="1">
      <c r="A964" s="64"/>
    </row>
    <row r="965" ht="12.75" customHeight="1">
      <c r="A965" s="64"/>
    </row>
    <row r="966" ht="12.75" customHeight="1">
      <c r="A966" s="64"/>
    </row>
    <row r="967" ht="12.75" customHeight="1">
      <c r="A967" s="64"/>
    </row>
    <row r="968" ht="12.75" customHeight="1">
      <c r="A968" s="64"/>
    </row>
    <row r="969" ht="12.75" customHeight="1">
      <c r="A969" s="64"/>
    </row>
    <row r="970" ht="12.75" customHeight="1">
      <c r="A970" s="64"/>
    </row>
    <row r="971" ht="12.75" customHeight="1">
      <c r="A971" s="64"/>
    </row>
    <row r="972" ht="12.75" customHeight="1">
      <c r="A972" s="64"/>
    </row>
    <row r="973" ht="12.75" customHeight="1">
      <c r="A973" s="64"/>
    </row>
    <row r="974" ht="12.75" customHeight="1">
      <c r="A974" s="64"/>
    </row>
    <row r="975" ht="12.75" customHeight="1">
      <c r="A975" s="64"/>
    </row>
    <row r="976" ht="12.75" customHeight="1">
      <c r="A976" s="64"/>
    </row>
    <row r="977" ht="12.75" customHeight="1">
      <c r="A977" s="64"/>
    </row>
    <row r="978" ht="12.75" customHeight="1">
      <c r="A978" s="64"/>
    </row>
    <row r="979" ht="12.75" customHeight="1">
      <c r="A979" s="64"/>
    </row>
    <row r="980" ht="12.75" customHeight="1">
      <c r="A980" s="64"/>
    </row>
    <row r="981" ht="12.75" customHeight="1">
      <c r="A981" s="64"/>
    </row>
    <row r="982" ht="12.75" customHeight="1">
      <c r="A982" s="64"/>
    </row>
    <row r="983" ht="12.75" customHeight="1">
      <c r="A983" s="64"/>
    </row>
    <row r="984" ht="12.75" customHeight="1">
      <c r="A984" s="64"/>
    </row>
    <row r="985" ht="12.75" customHeight="1">
      <c r="A985" s="64"/>
    </row>
    <row r="986" ht="12.75" customHeight="1">
      <c r="A986" s="64"/>
    </row>
    <row r="987" ht="12.75" customHeight="1">
      <c r="A987" s="64"/>
    </row>
    <row r="988" ht="12.75" customHeight="1">
      <c r="A988" s="64"/>
    </row>
    <row r="989" ht="12.75" customHeight="1">
      <c r="A989" s="64"/>
    </row>
    <row r="990" ht="12.75" customHeight="1">
      <c r="A990" s="64"/>
    </row>
    <row r="991" ht="12.75" customHeight="1">
      <c r="A991" s="64"/>
    </row>
    <row r="992" ht="12.75" customHeight="1">
      <c r="A992" s="64"/>
    </row>
    <row r="993" ht="12.75" customHeight="1">
      <c r="A993" s="64"/>
    </row>
    <row r="994" ht="12.75" customHeight="1">
      <c r="A994" s="64"/>
    </row>
    <row r="995" ht="12.75" customHeight="1">
      <c r="A995" s="64"/>
    </row>
    <row r="996" ht="12.75" customHeight="1">
      <c r="A996" s="64"/>
    </row>
    <row r="997" ht="12.75" customHeight="1">
      <c r="A997" s="64"/>
    </row>
    <row r="998" ht="12.75" customHeight="1">
      <c r="A998" s="64"/>
    </row>
    <row r="999" ht="12.75" customHeight="1">
      <c r="A999" s="64"/>
    </row>
  </sheetData>
  <printOptions/>
  <pageMargins bottom="1.0" footer="0.0" header="0.0" left="0.75" right="0.75" top="1.0"/>
  <pageSetup paperSize="9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5.38"/>
    <col customWidth="1" min="2" max="2" width="42.63"/>
    <col customWidth="1" hidden="1" min="3" max="3" width="14.13"/>
    <col customWidth="1" hidden="1" min="4" max="4" width="12.13"/>
    <col customWidth="1" min="5" max="5" width="14.13"/>
    <col customWidth="1" min="6" max="7" width="10.63"/>
    <col customWidth="1" min="8" max="8" width="9.88"/>
    <col customWidth="1" min="9" max="9" width="11.88"/>
    <col customWidth="1" min="10" max="10" width="14.0"/>
    <col customWidth="1" hidden="1" min="11" max="11" width="8.13"/>
    <col customWidth="1" min="12" max="12" width="16.13"/>
    <col customWidth="1" min="13" max="13" width="13.63"/>
    <col customWidth="1" hidden="1" min="14" max="14" width="6.88"/>
    <col customWidth="1" min="15" max="15" width="25.38"/>
    <col customWidth="1" min="16" max="26" width="9.13"/>
  </cols>
  <sheetData>
    <row r="1" ht="12.75" customHeight="1">
      <c r="A1" s="18" t="s">
        <v>127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 ht="12.75" customHeight="1">
      <c r="A2" s="19" t="s">
        <v>28</v>
      </c>
      <c r="B2" s="19"/>
      <c r="C2" s="19"/>
      <c r="D2" s="19"/>
      <c r="E2" s="19"/>
      <c r="F2" s="20"/>
      <c r="K2" s="19"/>
      <c r="L2" s="19"/>
    </row>
    <row r="3" ht="12.75" customHeight="1">
      <c r="A3" s="19" t="s">
        <v>29</v>
      </c>
      <c r="B3" s="19"/>
      <c r="K3" s="19"/>
      <c r="L3" s="19"/>
    </row>
    <row r="4" ht="12.75" customHeight="1">
      <c r="A4" s="21" t="s">
        <v>30</v>
      </c>
      <c r="B4" s="21" t="s">
        <v>3</v>
      </c>
      <c r="C4" s="21" t="s">
        <v>4</v>
      </c>
      <c r="D4" s="21" t="s">
        <v>5</v>
      </c>
      <c r="E4" s="22">
        <v>1.0</v>
      </c>
      <c r="F4" s="22">
        <v>2.0</v>
      </c>
      <c r="G4" s="22">
        <v>3.0</v>
      </c>
      <c r="H4" s="22">
        <v>4.0</v>
      </c>
      <c r="I4" s="22">
        <v>5.0</v>
      </c>
      <c r="J4" s="22" t="s">
        <v>31</v>
      </c>
      <c r="K4" s="23" t="s">
        <v>32</v>
      </c>
      <c r="L4" s="22" t="s">
        <v>33</v>
      </c>
      <c r="M4" s="22" t="s">
        <v>34</v>
      </c>
      <c r="N4" s="18" t="s">
        <v>32</v>
      </c>
      <c r="O4" s="24" t="s">
        <v>35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 ht="12.75" customHeight="1">
      <c r="A5" s="80">
        <v>1.0</v>
      </c>
      <c r="B5" s="27" t="s">
        <v>56</v>
      </c>
      <c r="C5" s="28"/>
      <c r="D5" s="28"/>
      <c r="E5" s="29">
        <v>16.32</v>
      </c>
      <c r="F5" s="29">
        <v>16.66</v>
      </c>
      <c r="G5" s="29">
        <v>25.0</v>
      </c>
      <c r="H5" s="29">
        <v>15.72</v>
      </c>
      <c r="I5" s="29">
        <v>21.48</v>
      </c>
      <c r="J5" s="30">
        <f t="shared" ref="J5:J23" si="1">IF(MIN(E5:I5)&gt;0,MIN(E5:I5),IF(COUNTBLANK(E5:I5)=5,"","DNF"))</f>
        <v>15.72</v>
      </c>
      <c r="K5" s="30"/>
      <c r="L5" s="30">
        <f t="shared" ref="L5:L23" si="2">IF(COUNTBLANK(E5:I5)&gt;0,"",IF(COUNTIF(E5:I5,"DNF")+COUNTIF(E5:I5,"DNS")&gt;0,"DNF",MAX(E5:I5)))</f>
        <v>25</v>
      </c>
      <c r="M5" s="30">
        <f t="shared" ref="M5:M21" si="3">IF(COUNTBLANK(E5:I5)&gt;0,"",IF(COUNTIF(E5:I5,"DNF")+COUNTIF(E5:I5,"DNS")&gt;1,"DNF",ROUND(IF(COUNTIF(E5:I5,"DNF")+COUNTIF(E5:I5,"DNS")&gt;0,(SUM(E5:I5)-J5)/3,(SUM(E5:I5)-J5-L5)/3),2)))</f>
        <v>18.15</v>
      </c>
      <c r="N5" s="25"/>
      <c r="O5" s="31">
        <f t="shared" ref="O5:O44" si="4">M5/86400</f>
        <v>0.0002100694444</v>
      </c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</row>
    <row r="6" ht="12.75" customHeight="1">
      <c r="A6" s="80">
        <v>2.0</v>
      </c>
      <c r="B6" s="27" t="s">
        <v>47</v>
      </c>
      <c r="C6" s="28"/>
      <c r="D6" s="28"/>
      <c r="E6" s="29">
        <v>19.14</v>
      </c>
      <c r="F6" s="29">
        <v>20.12</v>
      </c>
      <c r="G6" s="29">
        <v>15.94</v>
      </c>
      <c r="H6" s="29">
        <v>36.66</v>
      </c>
      <c r="I6" s="29">
        <v>17.43</v>
      </c>
      <c r="J6" s="30">
        <f t="shared" si="1"/>
        <v>15.94</v>
      </c>
      <c r="K6" s="30"/>
      <c r="L6" s="30">
        <f t="shared" si="2"/>
        <v>36.66</v>
      </c>
      <c r="M6" s="30">
        <f t="shared" si="3"/>
        <v>18.9</v>
      </c>
      <c r="N6" s="25"/>
      <c r="O6" s="31">
        <f t="shared" si="4"/>
        <v>0.00021875</v>
      </c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</row>
    <row r="7" ht="12.75" customHeight="1">
      <c r="A7" s="80">
        <v>3.0</v>
      </c>
      <c r="B7" s="27" t="s">
        <v>128</v>
      </c>
      <c r="C7" s="28"/>
      <c r="D7" s="28"/>
      <c r="E7" s="29">
        <v>21.88</v>
      </c>
      <c r="F7" s="29">
        <v>17.61</v>
      </c>
      <c r="G7" s="29">
        <v>21.77</v>
      </c>
      <c r="H7" s="29">
        <v>18.4</v>
      </c>
      <c r="I7" s="29">
        <v>19.41</v>
      </c>
      <c r="J7" s="30">
        <f t="shared" si="1"/>
        <v>17.61</v>
      </c>
      <c r="K7" s="30"/>
      <c r="L7" s="30">
        <f t="shared" si="2"/>
        <v>21.88</v>
      </c>
      <c r="M7" s="30">
        <f t="shared" si="3"/>
        <v>19.86</v>
      </c>
      <c r="N7" s="25"/>
      <c r="O7" s="31">
        <f t="shared" si="4"/>
        <v>0.0002298611111</v>
      </c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</row>
    <row r="8" ht="12.75" customHeight="1">
      <c r="A8" s="80">
        <v>4.0</v>
      </c>
      <c r="B8" s="27" t="s">
        <v>59</v>
      </c>
      <c r="C8" s="28"/>
      <c r="D8" s="28"/>
      <c r="E8" s="29">
        <v>26.59</v>
      </c>
      <c r="F8" s="29">
        <v>21.12</v>
      </c>
      <c r="G8" s="29">
        <v>17.52</v>
      </c>
      <c r="H8" s="29">
        <v>20.37</v>
      </c>
      <c r="I8" s="29">
        <v>18.94</v>
      </c>
      <c r="J8" s="30">
        <f t="shared" si="1"/>
        <v>17.52</v>
      </c>
      <c r="K8" s="30"/>
      <c r="L8" s="30">
        <f t="shared" si="2"/>
        <v>26.59</v>
      </c>
      <c r="M8" s="30">
        <f t="shared" si="3"/>
        <v>20.14</v>
      </c>
      <c r="N8" s="25"/>
      <c r="O8" s="31">
        <f t="shared" si="4"/>
        <v>0.0002331018519</v>
      </c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</row>
    <row r="9" ht="12.75" customHeight="1">
      <c r="A9" s="80">
        <v>5.0</v>
      </c>
      <c r="B9" s="27" t="s">
        <v>86</v>
      </c>
      <c r="C9" s="28"/>
      <c r="D9" s="28"/>
      <c r="E9" s="81">
        <v>21.27</v>
      </c>
      <c r="F9" s="29">
        <v>23.48</v>
      </c>
      <c r="G9" s="29">
        <v>22.68</v>
      </c>
      <c r="H9" s="29">
        <v>17.76</v>
      </c>
      <c r="I9" s="29">
        <v>13.95</v>
      </c>
      <c r="J9" s="30">
        <f t="shared" si="1"/>
        <v>13.95</v>
      </c>
      <c r="K9" s="30"/>
      <c r="L9" s="30">
        <f t="shared" si="2"/>
        <v>23.48</v>
      </c>
      <c r="M9" s="30">
        <f t="shared" si="3"/>
        <v>20.57</v>
      </c>
      <c r="N9" s="25"/>
      <c r="O9" s="31">
        <f t="shared" si="4"/>
        <v>0.0002380787037</v>
      </c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 ht="12.75" customHeight="1">
      <c r="A10" s="80">
        <v>6.0</v>
      </c>
      <c r="B10" s="27" t="s">
        <v>73</v>
      </c>
      <c r="C10" s="28"/>
      <c r="D10" s="28"/>
      <c r="E10" s="29">
        <v>18.91</v>
      </c>
      <c r="F10" s="29">
        <v>24.57</v>
      </c>
      <c r="G10" s="29">
        <v>17.54</v>
      </c>
      <c r="H10" s="29">
        <v>23.72</v>
      </c>
      <c r="I10" s="29">
        <v>21.06</v>
      </c>
      <c r="J10" s="30">
        <f t="shared" si="1"/>
        <v>17.54</v>
      </c>
      <c r="K10" s="30"/>
      <c r="L10" s="30">
        <f t="shared" si="2"/>
        <v>24.57</v>
      </c>
      <c r="M10" s="30">
        <f t="shared" si="3"/>
        <v>21.23</v>
      </c>
      <c r="N10" s="25"/>
      <c r="O10" s="31">
        <f t="shared" si="4"/>
        <v>0.0002457175926</v>
      </c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 ht="12.75" customHeight="1">
      <c r="A11" s="80">
        <v>7.0</v>
      </c>
      <c r="B11" s="27" t="s">
        <v>129</v>
      </c>
      <c r="C11" s="28"/>
      <c r="D11" s="28"/>
      <c r="E11" s="29">
        <v>19.78</v>
      </c>
      <c r="F11" s="29">
        <v>17.52</v>
      </c>
      <c r="G11" s="29">
        <v>34.71</v>
      </c>
      <c r="H11" s="29">
        <v>19.68</v>
      </c>
      <c r="I11" s="29">
        <v>25.16</v>
      </c>
      <c r="J11" s="30">
        <f t="shared" si="1"/>
        <v>17.52</v>
      </c>
      <c r="K11" s="30"/>
      <c r="L11" s="30">
        <f t="shared" si="2"/>
        <v>34.71</v>
      </c>
      <c r="M11" s="30">
        <f t="shared" si="3"/>
        <v>21.54</v>
      </c>
      <c r="N11" s="25"/>
      <c r="O11" s="31">
        <f t="shared" si="4"/>
        <v>0.0002493055556</v>
      </c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 ht="12.75" customHeight="1">
      <c r="A12" s="80">
        <v>8.0</v>
      </c>
      <c r="B12" s="27" t="s">
        <v>130</v>
      </c>
      <c r="C12" s="28"/>
      <c r="D12" s="28"/>
      <c r="E12" s="29">
        <v>20.47</v>
      </c>
      <c r="F12" s="29">
        <v>23.23</v>
      </c>
      <c r="G12" s="29">
        <v>17.67</v>
      </c>
      <c r="H12" s="29">
        <v>25.23</v>
      </c>
      <c r="I12" s="29">
        <v>23.83</v>
      </c>
      <c r="J12" s="30">
        <f t="shared" si="1"/>
        <v>17.67</v>
      </c>
      <c r="K12" s="30"/>
      <c r="L12" s="30">
        <f t="shared" si="2"/>
        <v>25.23</v>
      </c>
      <c r="M12" s="30">
        <f t="shared" si="3"/>
        <v>22.51</v>
      </c>
      <c r="N12" s="25"/>
      <c r="O12" s="31">
        <f t="shared" si="4"/>
        <v>0.0002605324074</v>
      </c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 ht="12.75" customHeight="1">
      <c r="A13" s="80">
        <v>9.0</v>
      </c>
      <c r="B13" s="27" t="s">
        <v>63</v>
      </c>
      <c r="C13" s="28"/>
      <c r="D13" s="28"/>
      <c r="E13" s="29">
        <v>22.13</v>
      </c>
      <c r="F13" s="29">
        <v>25.25</v>
      </c>
      <c r="G13" s="29">
        <v>23.64</v>
      </c>
      <c r="H13" s="29">
        <v>21.81</v>
      </c>
      <c r="I13" s="29">
        <v>20.45</v>
      </c>
      <c r="J13" s="30">
        <f t="shared" si="1"/>
        <v>20.45</v>
      </c>
      <c r="K13" s="30"/>
      <c r="L13" s="30">
        <f t="shared" si="2"/>
        <v>25.25</v>
      </c>
      <c r="M13" s="30">
        <f t="shared" si="3"/>
        <v>22.53</v>
      </c>
      <c r="N13" s="25"/>
      <c r="O13" s="31">
        <f t="shared" si="4"/>
        <v>0.0002607638889</v>
      </c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 ht="12.75" customHeight="1">
      <c r="A14" s="80">
        <v>10.0</v>
      </c>
      <c r="B14" s="27" t="s">
        <v>131</v>
      </c>
      <c r="C14" s="28"/>
      <c r="D14" s="28"/>
      <c r="E14" s="29">
        <v>24.16</v>
      </c>
      <c r="F14" s="29">
        <v>22.02</v>
      </c>
      <c r="G14" s="29">
        <v>21.2</v>
      </c>
      <c r="H14" s="29" t="s">
        <v>49</v>
      </c>
      <c r="I14" s="29">
        <v>22.04</v>
      </c>
      <c r="J14" s="30">
        <f t="shared" si="1"/>
        <v>21.2</v>
      </c>
      <c r="K14" s="30"/>
      <c r="L14" s="30" t="str">
        <f t="shared" si="2"/>
        <v>DNF</v>
      </c>
      <c r="M14" s="30">
        <f t="shared" si="3"/>
        <v>22.74</v>
      </c>
      <c r="N14" s="25"/>
      <c r="O14" s="31">
        <f t="shared" si="4"/>
        <v>0.0002631944444</v>
      </c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ht="12.75" customHeight="1">
      <c r="A15" s="80">
        <v>11.0</v>
      </c>
      <c r="B15" s="27" t="s">
        <v>132</v>
      </c>
      <c r="C15" s="28"/>
      <c r="D15" s="28"/>
      <c r="E15" s="29">
        <v>23.42</v>
      </c>
      <c r="F15" s="29">
        <v>27.49</v>
      </c>
      <c r="G15" s="29">
        <v>22.57</v>
      </c>
      <c r="H15" s="29">
        <v>20.52</v>
      </c>
      <c r="I15" s="29">
        <v>23.08</v>
      </c>
      <c r="J15" s="30">
        <f t="shared" si="1"/>
        <v>20.52</v>
      </c>
      <c r="K15" s="30"/>
      <c r="L15" s="30">
        <f t="shared" si="2"/>
        <v>27.49</v>
      </c>
      <c r="M15" s="30">
        <f t="shared" si="3"/>
        <v>23.02</v>
      </c>
      <c r="N15" s="25"/>
      <c r="O15" s="31">
        <f t="shared" si="4"/>
        <v>0.0002664351852</v>
      </c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ht="12.75" customHeight="1">
      <c r="A16" s="80">
        <v>12.0</v>
      </c>
      <c r="B16" s="27" t="s">
        <v>133</v>
      </c>
      <c r="C16" s="28"/>
      <c r="D16" s="28"/>
      <c r="E16" s="29">
        <v>33.58</v>
      </c>
      <c r="F16" s="29">
        <v>23.15</v>
      </c>
      <c r="G16" s="29">
        <v>22.37</v>
      </c>
      <c r="H16" s="29">
        <v>27.19</v>
      </c>
      <c r="I16" s="29">
        <v>21.21</v>
      </c>
      <c r="J16" s="30">
        <f t="shared" si="1"/>
        <v>21.21</v>
      </c>
      <c r="K16" s="30"/>
      <c r="L16" s="30">
        <f t="shared" si="2"/>
        <v>33.58</v>
      </c>
      <c r="M16" s="30">
        <f t="shared" si="3"/>
        <v>24.24</v>
      </c>
      <c r="N16" s="25"/>
      <c r="O16" s="31">
        <f t="shared" si="4"/>
        <v>0.0002805555556</v>
      </c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 ht="12.75" customHeight="1">
      <c r="A17" s="80">
        <v>13.0</v>
      </c>
      <c r="B17" s="27" t="s">
        <v>134</v>
      </c>
      <c r="C17" s="28"/>
      <c r="D17" s="28"/>
      <c r="E17" s="29">
        <v>22.03</v>
      </c>
      <c r="F17" s="29">
        <v>20.11</v>
      </c>
      <c r="G17" s="29">
        <v>31.01</v>
      </c>
      <c r="H17" s="29">
        <v>20.0</v>
      </c>
      <c r="I17" s="29" t="s">
        <v>49</v>
      </c>
      <c r="J17" s="30">
        <f t="shared" si="1"/>
        <v>20</v>
      </c>
      <c r="K17" s="30"/>
      <c r="L17" s="30" t="str">
        <f t="shared" si="2"/>
        <v>DNF</v>
      </c>
      <c r="M17" s="30">
        <f t="shared" si="3"/>
        <v>24.38</v>
      </c>
      <c r="N17" s="25"/>
      <c r="O17" s="31">
        <f t="shared" si="4"/>
        <v>0.0002821759259</v>
      </c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 ht="12.75" customHeight="1">
      <c r="A18" s="80">
        <v>14.0</v>
      </c>
      <c r="B18" s="27" t="s">
        <v>135</v>
      </c>
      <c r="C18" s="41"/>
      <c r="D18" s="41"/>
      <c r="E18" s="29" t="s">
        <v>49</v>
      </c>
      <c r="F18" s="29">
        <v>24.05</v>
      </c>
      <c r="G18" s="29">
        <v>24.51</v>
      </c>
      <c r="H18" s="29">
        <v>23.73</v>
      </c>
      <c r="I18" s="29">
        <v>26.83</v>
      </c>
      <c r="J18" s="30">
        <f t="shared" si="1"/>
        <v>23.73</v>
      </c>
      <c r="K18" s="30"/>
      <c r="L18" s="30" t="str">
        <f t="shared" si="2"/>
        <v>DNF</v>
      </c>
      <c r="M18" s="30">
        <f t="shared" si="3"/>
        <v>25.13</v>
      </c>
      <c r="N18" s="25"/>
      <c r="O18" s="31">
        <f t="shared" si="4"/>
        <v>0.0002908564815</v>
      </c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 ht="12.75" customHeight="1">
      <c r="A19" s="80">
        <v>15.0</v>
      </c>
      <c r="B19" s="27" t="s">
        <v>125</v>
      </c>
      <c r="C19" s="28"/>
      <c r="D19" s="28"/>
      <c r="E19" s="29">
        <v>32.19</v>
      </c>
      <c r="F19" s="29">
        <v>29.95</v>
      </c>
      <c r="G19" s="29">
        <v>24.05</v>
      </c>
      <c r="H19" s="29">
        <v>22.53</v>
      </c>
      <c r="I19" s="29">
        <v>24.67</v>
      </c>
      <c r="J19" s="30">
        <f t="shared" si="1"/>
        <v>22.53</v>
      </c>
      <c r="K19" s="30"/>
      <c r="L19" s="30">
        <f t="shared" si="2"/>
        <v>32.19</v>
      </c>
      <c r="M19" s="30">
        <f t="shared" si="3"/>
        <v>26.22</v>
      </c>
      <c r="N19" s="25"/>
      <c r="O19" s="31">
        <f t="shared" si="4"/>
        <v>0.0003034722222</v>
      </c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 ht="12.75" customHeight="1">
      <c r="A20" s="80">
        <v>16.0</v>
      </c>
      <c r="B20" s="27" t="s">
        <v>84</v>
      </c>
      <c r="C20" s="28"/>
      <c r="D20" s="28"/>
      <c r="E20" s="29">
        <v>22.86</v>
      </c>
      <c r="F20" s="29">
        <v>26.1</v>
      </c>
      <c r="G20" s="29">
        <v>27.38</v>
      </c>
      <c r="H20" s="29">
        <v>25.41</v>
      </c>
      <c r="I20" s="29">
        <v>28.6</v>
      </c>
      <c r="J20" s="30">
        <f t="shared" si="1"/>
        <v>22.86</v>
      </c>
      <c r="K20" s="30"/>
      <c r="L20" s="30">
        <f t="shared" si="2"/>
        <v>28.6</v>
      </c>
      <c r="M20" s="30">
        <f t="shared" si="3"/>
        <v>26.3</v>
      </c>
      <c r="N20" s="25"/>
      <c r="O20" s="31">
        <f t="shared" si="4"/>
        <v>0.0003043981481</v>
      </c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 ht="12.75" customHeight="1">
      <c r="A21" s="80">
        <v>17.0</v>
      </c>
      <c r="B21" s="27" t="s">
        <v>136</v>
      </c>
      <c r="C21" s="28"/>
      <c r="D21" s="28"/>
      <c r="E21" s="29">
        <v>30.86</v>
      </c>
      <c r="F21" s="29">
        <v>33.66</v>
      </c>
      <c r="G21" s="29">
        <v>25.84</v>
      </c>
      <c r="H21" s="29">
        <v>25.52</v>
      </c>
      <c r="I21" s="29">
        <v>28.24</v>
      </c>
      <c r="J21" s="30">
        <f t="shared" si="1"/>
        <v>25.52</v>
      </c>
      <c r="K21" s="30"/>
      <c r="L21" s="30">
        <f t="shared" si="2"/>
        <v>33.66</v>
      </c>
      <c r="M21" s="30">
        <f t="shared" si="3"/>
        <v>28.31</v>
      </c>
      <c r="N21" s="25"/>
      <c r="O21" s="31">
        <f t="shared" si="4"/>
        <v>0.000327662037</v>
      </c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 ht="12.75" customHeight="1">
      <c r="A22" s="80">
        <v>18.0</v>
      </c>
      <c r="B22" s="27" t="s">
        <v>137</v>
      </c>
      <c r="C22" s="28"/>
      <c r="D22" s="28"/>
      <c r="E22" s="29" t="s">
        <v>49</v>
      </c>
      <c r="F22" s="29">
        <v>26.8</v>
      </c>
      <c r="G22" s="29">
        <v>27.15</v>
      </c>
      <c r="H22" s="29">
        <v>30.6</v>
      </c>
      <c r="I22" s="29">
        <v>31.63</v>
      </c>
      <c r="J22" s="30">
        <f t="shared" si="1"/>
        <v>26.8</v>
      </c>
      <c r="K22" s="30"/>
      <c r="L22" s="30" t="str">
        <f t="shared" si="2"/>
        <v>DNF</v>
      </c>
      <c r="M22" s="30">
        <f>IF(COUNTBLANK(E22:I22)&gt;0,"",IF(COUNTIF(E22:I22,"DNF")+COUNTIF(E22:I22,"DNS")&gt;1,"DNF",IF(COUNTIF(E22:I22,"DNF")+COUNTIF(E22:I22,"DNS")&gt;0,(SUM(E22:I22)-J22)/3,(SUM(E22:I22)-J22-L22)/3)))</f>
        <v>29.79333333</v>
      </c>
      <c r="N22" s="25"/>
      <c r="O22" s="31">
        <f t="shared" si="4"/>
        <v>0.0003448302469</v>
      </c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 ht="12.75" customHeight="1">
      <c r="A23" s="80">
        <v>19.0</v>
      </c>
      <c r="B23" s="27" t="s">
        <v>92</v>
      </c>
      <c r="C23" s="33"/>
      <c r="D23" s="33"/>
      <c r="E23" s="29">
        <v>25.96</v>
      </c>
      <c r="F23" s="29">
        <v>28.51</v>
      </c>
      <c r="G23" s="29">
        <v>32.72</v>
      </c>
      <c r="H23" s="29">
        <v>32.45</v>
      </c>
      <c r="I23" s="29">
        <v>31.0</v>
      </c>
      <c r="J23" s="30">
        <f t="shared" si="1"/>
        <v>25.96</v>
      </c>
      <c r="K23" s="30"/>
      <c r="L23" s="30">
        <f t="shared" si="2"/>
        <v>32.72</v>
      </c>
      <c r="M23" s="30">
        <f>IF(COUNTBLANK(E23:I23)&gt;0,"",IF(COUNTIF(E23:I23,"DNF")+COUNTIF(E23:I23,"DNS")&gt;1,"DNF",ROUND(IF(COUNTIF(E23:I23,"DNF")+COUNTIF(E23:I23,"DNS")&gt;0,(SUM(E23:I23)-J23)/3,(SUM(E23:I23)-J23-L23)/3),2)))</f>
        <v>30.65</v>
      </c>
      <c r="N23" s="25"/>
      <c r="O23" s="31">
        <f t="shared" si="4"/>
        <v>0.0003547453704</v>
      </c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 ht="12.75" customHeight="1">
      <c r="A24" s="80">
        <v>20.0</v>
      </c>
      <c r="B24" s="27"/>
      <c r="C24" s="33"/>
      <c r="D24" s="33"/>
      <c r="E24" s="29"/>
      <c r="F24" s="29"/>
      <c r="G24" s="29"/>
      <c r="H24" s="29"/>
      <c r="I24" s="29"/>
      <c r="J24" s="30"/>
      <c r="K24" s="30"/>
      <c r="L24" s="30"/>
      <c r="M24" s="30"/>
      <c r="N24" s="25"/>
      <c r="O24" s="31">
        <f t="shared" si="4"/>
        <v>0</v>
      </c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 ht="12.75" customHeight="1">
      <c r="A25" s="80">
        <v>21.0</v>
      </c>
      <c r="B25" s="27"/>
      <c r="C25" s="28"/>
      <c r="D25" s="28"/>
      <c r="E25" s="29"/>
      <c r="F25" s="29"/>
      <c r="G25" s="29"/>
      <c r="H25" s="29"/>
      <c r="I25" s="29"/>
      <c r="J25" s="30" t="str">
        <f t="shared" ref="J25:J44" si="5">IF(MIN(E25:I25)&gt;0,MIN(E25:I25),IF(COUNTBLANK(E25:I25)=5,"","DNF"))</f>
        <v/>
      </c>
      <c r="K25" s="30"/>
      <c r="L25" s="30" t="str">
        <f t="shared" ref="L25:L44" si="6">IF(COUNTBLANK(E25:I25)&gt;0,"",IF(COUNTIF(E25:I25,"DNF")+COUNTIF(E25:I25,"DNS")&gt;0,"DNF",MAX(E25:I25)))</f>
        <v/>
      </c>
      <c r="M25" s="30" t="str">
        <f t="shared" ref="M25:M42" si="7">IF(COUNTBLANK(E25:I25)&gt;0,"",IF(COUNTIF(E25:I25,"DNF")+COUNTIF(E25:I25,"DNS")&gt;1,"DNF",ROUND(IF(COUNTIF(E25:I25,"DNF")+COUNTIF(E25:I25,"DNS")&gt;0,(SUM(E25:I25)-J25)/3,(SUM(E25:I25)-J25-L25)/3),2)))</f>
        <v/>
      </c>
      <c r="N25" s="25"/>
      <c r="O25" s="31">
        <f t="shared" si="4"/>
        <v>0</v>
      </c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 ht="12.75" customHeight="1">
      <c r="A26" s="80">
        <v>22.0</v>
      </c>
      <c r="B26" s="27"/>
      <c r="C26" s="33"/>
      <c r="D26" s="33"/>
      <c r="E26" s="29"/>
      <c r="F26" s="29"/>
      <c r="G26" s="29"/>
      <c r="H26" s="29"/>
      <c r="I26" s="29"/>
      <c r="J26" s="30" t="str">
        <f t="shared" si="5"/>
        <v/>
      </c>
      <c r="K26" s="30"/>
      <c r="L26" s="30" t="str">
        <f t="shared" si="6"/>
        <v/>
      </c>
      <c r="M26" s="30" t="str">
        <f t="shared" si="7"/>
        <v/>
      </c>
      <c r="N26" s="25"/>
      <c r="O26" s="31">
        <f t="shared" si="4"/>
        <v>0</v>
      </c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 ht="12.75" customHeight="1">
      <c r="A27" s="80">
        <v>23.0</v>
      </c>
      <c r="B27" s="27"/>
      <c r="C27" s="28"/>
      <c r="D27" s="28"/>
      <c r="E27" s="29"/>
      <c r="F27" s="29"/>
      <c r="G27" s="29"/>
      <c r="H27" s="29"/>
      <c r="I27" s="29"/>
      <c r="J27" s="30" t="str">
        <f t="shared" si="5"/>
        <v/>
      </c>
      <c r="K27" s="30"/>
      <c r="L27" s="30" t="str">
        <f t="shared" si="6"/>
        <v/>
      </c>
      <c r="M27" s="30" t="str">
        <f t="shared" si="7"/>
        <v/>
      </c>
      <c r="N27" s="25"/>
      <c r="O27" s="31">
        <f t="shared" si="4"/>
        <v>0</v>
      </c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 ht="12.75" customHeight="1">
      <c r="A28" s="80">
        <v>24.0</v>
      </c>
      <c r="B28" s="27"/>
      <c r="C28" s="33"/>
      <c r="D28" s="33"/>
      <c r="E28" s="34"/>
      <c r="F28" s="34"/>
      <c r="G28" s="34"/>
      <c r="H28" s="34"/>
      <c r="I28" s="34"/>
      <c r="J28" s="35" t="str">
        <f t="shared" si="5"/>
        <v/>
      </c>
      <c r="K28" s="35"/>
      <c r="L28" s="35" t="str">
        <f t="shared" si="6"/>
        <v/>
      </c>
      <c r="M28" s="35" t="str">
        <f t="shared" si="7"/>
        <v/>
      </c>
      <c r="N28" s="25"/>
      <c r="O28" s="31">
        <f t="shared" si="4"/>
        <v>0</v>
      </c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ht="12.75" customHeight="1">
      <c r="A29" s="80">
        <v>25.0</v>
      </c>
      <c r="B29" s="27"/>
      <c r="C29" s="28"/>
      <c r="D29" s="28"/>
      <c r="E29" s="29"/>
      <c r="F29" s="29"/>
      <c r="G29" s="29"/>
      <c r="H29" s="29"/>
      <c r="I29" s="29"/>
      <c r="J29" s="30" t="str">
        <f t="shared" si="5"/>
        <v/>
      </c>
      <c r="K29" s="30"/>
      <c r="L29" s="30" t="str">
        <f t="shared" si="6"/>
        <v/>
      </c>
      <c r="M29" s="30" t="str">
        <f t="shared" si="7"/>
        <v/>
      </c>
      <c r="N29" s="25"/>
      <c r="O29" s="31">
        <f t="shared" si="4"/>
        <v>0</v>
      </c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 ht="12.75" customHeight="1">
      <c r="A30" s="80">
        <v>26.0</v>
      </c>
      <c r="B30" s="27"/>
      <c r="C30" s="28"/>
      <c r="D30" s="28"/>
      <c r="E30" s="29"/>
      <c r="F30" s="29"/>
      <c r="G30" s="29"/>
      <c r="H30" s="29"/>
      <c r="I30" s="29"/>
      <c r="J30" s="30" t="str">
        <f t="shared" si="5"/>
        <v/>
      </c>
      <c r="K30" s="30"/>
      <c r="L30" s="30" t="str">
        <f t="shared" si="6"/>
        <v/>
      </c>
      <c r="M30" s="30" t="str">
        <f t="shared" si="7"/>
        <v/>
      </c>
      <c r="N30" s="25"/>
      <c r="O30" s="31">
        <f t="shared" si="4"/>
        <v>0</v>
      </c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 ht="12.75" customHeight="1">
      <c r="A31" s="80">
        <v>27.0</v>
      </c>
      <c r="B31" s="27"/>
      <c r="C31" s="28"/>
      <c r="D31" s="28"/>
      <c r="E31" s="29"/>
      <c r="F31" s="29"/>
      <c r="G31" s="29"/>
      <c r="H31" s="29"/>
      <c r="I31" s="29"/>
      <c r="J31" s="30" t="str">
        <f t="shared" si="5"/>
        <v/>
      </c>
      <c r="K31" s="30"/>
      <c r="L31" s="30" t="str">
        <f t="shared" si="6"/>
        <v/>
      </c>
      <c r="M31" s="30" t="str">
        <f t="shared" si="7"/>
        <v/>
      </c>
      <c r="N31" s="25"/>
      <c r="O31" s="31">
        <f t="shared" si="4"/>
        <v>0</v>
      </c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 ht="12.75" customHeight="1">
      <c r="A32" s="80">
        <v>28.0</v>
      </c>
      <c r="B32" s="27"/>
      <c r="C32" s="28"/>
      <c r="D32" s="28"/>
      <c r="E32" s="29"/>
      <c r="F32" s="29"/>
      <c r="G32" s="29"/>
      <c r="H32" s="29"/>
      <c r="I32" s="29"/>
      <c r="J32" s="30" t="str">
        <f t="shared" si="5"/>
        <v/>
      </c>
      <c r="K32" s="30"/>
      <c r="L32" s="30" t="str">
        <f t="shared" si="6"/>
        <v/>
      </c>
      <c r="M32" s="30" t="str">
        <f t="shared" si="7"/>
        <v/>
      </c>
      <c r="N32" s="25"/>
      <c r="O32" s="31">
        <f t="shared" si="4"/>
        <v>0</v>
      </c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 ht="12.75" customHeight="1">
      <c r="A33" s="55">
        <v>29.0</v>
      </c>
      <c r="B33" s="36"/>
      <c r="C33" s="28"/>
      <c r="D33" s="28"/>
      <c r="E33" s="30"/>
      <c r="F33" s="30"/>
      <c r="G33" s="30"/>
      <c r="H33" s="30"/>
      <c r="I33" s="30"/>
      <c r="J33" s="30" t="str">
        <f t="shared" si="5"/>
        <v/>
      </c>
      <c r="K33" s="30"/>
      <c r="L33" s="30" t="str">
        <f t="shared" si="6"/>
        <v/>
      </c>
      <c r="M33" s="30" t="str">
        <f t="shared" si="7"/>
        <v/>
      </c>
      <c r="N33" s="25"/>
      <c r="O33" s="31">
        <f t="shared" si="4"/>
        <v>0</v>
      </c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ht="12.75" customHeight="1">
      <c r="A34" s="55">
        <v>30.0</v>
      </c>
      <c r="B34" s="36"/>
      <c r="C34" s="28"/>
      <c r="D34" s="28"/>
      <c r="E34" s="30"/>
      <c r="F34" s="30"/>
      <c r="G34" s="30"/>
      <c r="H34" s="30"/>
      <c r="I34" s="30"/>
      <c r="J34" s="30" t="str">
        <f t="shared" si="5"/>
        <v/>
      </c>
      <c r="K34" s="30"/>
      <c r="L34" s="30" t="str">
        <f t="shared" si="6"/>
        <v/>
      </c>
      <c r="M34" s="30" t="str">
        <f t="shared" si="7"/>
        <v/>
      </c>
      <c r="N34" s="25"/>
      <c r="O34" s="31">
        <f t="shared" si="4"/>
        <v>0</v>
      </c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 ht="12.75" customHeight="1">
      <c r="A35" s="55">
        <v>31.0</v>
      </c>
      <c r="B35" s="36"/>
      <c r="C35" s="28"/>
      <c r="D35" s="28"/>
      <c r="E35" s="30"/>
      <c r="F35" s="30"/>
      <c r="G35" s="30"/>
      <c r="H35" s="30"/>
      <c r="I35" s="30"/>
      <c r="J35" s="30" t="str">
        <f t="shared" si="5"/>
        <v/>
      </c>
      <c r="K35" s="30"/>
      <c r="L35" s="30" t="str">
        <f t="shared" si="6"/>
        <v/>
      </c>
      <c r="M35" s="30" t="str">
        <f t="shared" si="7"/>
        <v/>
      </c>
      <c r="N35" s="25"/>
      <c r="O35" s="31">
        <f t="shared" si="4"/>
        <v>0</v>
      </c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 ht="12.75" customHeight="1">
      <c r="A36" s="55">
        <v>32.0</v>
      </c>
      <c r="B36" s="36"/>
      <c r="C36" s="28"/>
      <c r="D36" s="28"/>
      <c r="E36" s="30"/>
      <c r="F36" s="30"/>
      <c r="G36" s="30"/>
      <c r="H36" s="30"/>
      <c r="I36" s="30"/>
      <c r="J36" s="30" t="str">
        <f t="shared" si="5"/>
        <v/>
      </c>
      <c r="K36" s="30"/>
      <c r="L36" s="30" t="str">
        <f t="shared" si="6"/>
        <v/>
      </c>
      <c r="M36" s="30" t="str">
        <f t="shared" si="7"/>
        <v/>
      </c>
      <c r="N36" s="25"/>
      <c r="O36" s="31">
        <f t="shared" si="4"/>
        <v>0</v>
      </c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 ht="12.75" customHeight="1">
      <c r="A37" s="55">
        <v>33.0</v>
      </c>
      <c r="B37" s="36"/>
      <c r="C37" s="28"/>
      <c r="D37" s="28"/>
      <c r="E37" s="30"/>
      <c r="F37" s="30"/>
      <c r="G37" s="30"/>
      <c r="H37" s="30"/>
      <c r="I37" s="30"/>
      <c r="J37" s="30" t="str">
        <f t="shared" si="5"/>
        <v/>
      </c>
      <c r="K37" s="30"/>
      <c r="L37" s="30" t="str">
        <f t="shared" si="6"/>
        <v/>
      </c>
      <c r="M37" s="30" t="str">
        <f t="shared" si="7"/>
        <v/>
      </c>
      <c r="N37" s="25"/>
      <c r="O37" s="31">
        <f t="shared" si="4"/>
        <v>0</v>
      </c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ht="12.75" customHeight="1">
      <c r="A38" s="55">
        <v>34.0</v>
      </c>
      <c r="B38" s="36"/>
      <c r="C38" s="28"/>
      <c r="D38" s="28"/>
      <c r="E38" s="30"/>
      <c r="F38" s="30"/>
      <c r="G38" s="30"/>
      <c r="H38" s="30"/>
      <c r="I38" s="30"/>
      <c r="J38" s="30" t="str">
        <f t="shared" si="5"/>
        <v/>
      </c>
      <c r="K38" s="30"/>
      <c r="L38" s="30" t="str">
        <f t="shared" si="6"/>
        <v/>
      </c>
      <c r="M38" s="30" t="str">
        <f t="shared" si="7"/>
        <v/>
      </c>
      <c r="N38" s="25"/>
      <c r="O38" s="31">
        <f t="shared" si="4"/>
        <v>0</v>
      </c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 ht="12.75" customHeight="1">
      <c r="A39" s="55">
        <v>35.0</v>
      </c>
      <c r="B39" s="36"/>
      <c r="C39" s="28"/>
      <c r="D39" s="28"/>
      <c r="E39" s="30"/>
      <c r="F39" s="30"/>
      <c r="G39" s="30"/>
      <c r="H39" s="30"/>
      <c r="I39" s="30"/>
      <c r="J39" s="30" t="str">
        <f t="shared" si="5"/>
        <v/>
      </c>
      <c r="K39" s="30"/>
      <c r="L39" s="30" t="str">
        <f t="shared" si="6"/>
        <v/>
      </c>
      <c r="M39" s="30" t="str">
        <f t="shared" si="7"/>
        <v/>
      </c>
      <c r="N39" s="25"/>
      <c r="O39" s="31">
        <f t="shared" si="4"/>
        <v>0</v>
      </c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 ht="12.75" customHeight="1">
      <c r="A40" s="55">
        <v>36.0</v>
      </c>
      <c r="B40" s="36"/>
      <c r="C40" s="28"/>
      <c r="D40" s="28"/>
      <c r="E40" s="30"/>
      <c r="F40" s="30"/>
      <c r="G40" s="30"/>
      <c r="H40" s="30"/>
      <c r="I40" s="30"/>
      <c r="J40" s="30" t="str">
        <f t="shared" si="5"/>
        <v/>
      </c>
      <c r="K40" s="30"/>
      <c r="L40" s="30" t="str">
        <f t="shared" si="6"/>
        <v/>
      </c>
      <c r="M40" s="30" t="str">
        <f t="shared" si="7"/>
        <v/>
      </c>
      <c r="N40" s="25"/>
      <c r="O40" s="31">
        <f t="shared" si="4"/>
        <v>0</v>
      </c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 ht="12.75" customHeight="1">
      <c r="A41" s="55">
        <v>37.0</v>
      </c>
      <c r="B41" s="36"/>
      <c r="C41" s="28"/>
      <c r="D41" s="28"/>
      <c r="E41" s="30"/>
      <c r="F41" s="30"/>
      <c r="G41" s="30"/>
      <c r="H41" s="30"/>
      <c r="I41" s="30"/>
      <c r="J41" s="30" t="str">
        <f t="shared" si="5"/>
        <v/>
      </c>
      <c r="K41" s="30"/>
      <c r="L41" s="30" t="str">
        <f t="shared" si="6"/>
        <v/>
      </c>
      <c r="M41" s="30" t="str">
        <f t="shared" si="7"/>
        <v/>
      </c>
      <c r="N41" s="25"/>
      <c r="O41" s="31">
        <f t="shared" si="4"/>
        <v>0</v>
      </c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 ht="12.75" customHeight="1">
      <c r="A42" s="55">
        <f>IF(AND(M41=M42,J41=J42),A41,ROW()-4)</f>
        <v>37</v>
      </c>
      <c r="B42" s="36"/>
      <c r="C42" s="28"/>
      <c r="D42" s="28"/>
      <c r="E42" s="30"/>
      <c r="F42" s="30"/>
      <c r="G42" s="30"/>
      <c r="H42" s="30"/>
      <c r="I42" s="30"/>
      <c r="J42" s="30" t="str">
        <f t="shared" si="5"/>
        <v/>
      </c>
      <c r="K42" s="30"/>
      <c r="L42" s="30" t="str">
        <f t="shared" si="6"/>
        <v/>
      </c>
      <c r="M42" s="30" t="str">
        <f t="shared" si="7"/>
        <v/>
      </c>
      <c r="N42" s="25"/>
      <c r="O42" s="31">
        <f t="shared" si="4"/>
        <v>0</v>
      </c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</row>
    <row r="43" ht="12.75" customHeight="1">
      <c r="A43" s="55">
        <v>15.0</v>
      </c>
      <c r="B43" s="36"/>
      <c r="E43" s="44"/>
      <c r="F43" s="44"/>
      <c r="G43" s="44"/>
      <c r="H43" s="44"/>
      <c r="I43" s="44"/>
      <c r="J43" s="44" t="str">
        <f t="shared" si="5"/>
        <v/>
      </c>
      <c r="K43" s="45"/>
      <c r="L43" s="44" t="str">
        <f t="shared" si="6"/>
        <v/>
      </c>
      <c r="M43" s="44" t="str">
        <f>IF(COUNTBLANK(E43:I43)&gt;0,"",IF(COUNTIF(E43:I43,"DNF")+COUNTIF(E43:I43,"DNS")&gt;1,"DNF",IF(COUNTIF(E43:I43,"DNF")+COUNTIF(E43:I43,"DNS")&gt;0,(SUM(E43:I43)-J43)/3,(SUM(E43:I43)-J43-L43)/3)))</f>
        <v/>
      </c>
      <c r="N43" s="25"/>
      <c r="O43" s="31">
        <f t="shared" si="4"/>
        <v>0</v>
      </c>
    </row>
    <row r="44" ht="12.75" customHeight="1">
      <c r="E44" s="35"/>
      <c r="F44" s="35"/>
      <c r="G44" s="35"/>
      <c r="H44" s="35"/>
      <c r="I44" s="35"/>
      <c r="J44" s="35" t="str">
        <f t="shared" si="5"/>
        <v/>
      </c>
      <c r="K44" s="35"/>
      <c r="L44" s="35" t="str">
        <f t="shared" si="6"/>
        <v/>
      </c>
      <c r="M44" s="35" t="str">
        <f>IF(COUNTBLANK(E44:I44)&gt;0,"",IF(COUNTIF(E44:I44,"DNF")+COUNTIF(E44:I44,"DNS")&gt;1,"DNF",ROUND(IF(COUNTIF(E44:I44,"DNF")+COUNTIF(E44:I44,"DNS")&gt;0,(SUM(E44:I44)-J44)/3,(SUM(E44:I44)-J44-L44)/3),2)))</f>
        <v/>
      </c>
      <c r="N44" s="25"/>
      <c r="O44" s="31">
        <f t="shared" si="4"/>
        <v>0</v>
      </c>
    </row>
    <row r="45" ht="12.75" customHeight="1">
      <c r="E45" s="40"/>
      <c r="F45" s="40"/>
      <c r="G45" s="40"/>
      <c r="H45" s="40"/>
      <c r="I45" s="40"/>
      <c r="J45" s="40"/>
      <c r="K45" s="40"/>
      <c r="L45" s="40"/>
      <c r="M45" s="40"/>
    </row>
    <row r="46" ht="12.75" customHeight="1">
      <c r="E46" s="40"/>
      <c r="F46" s="40"/>
      <c r="G46" s="40"/>
      <c r="H46" s="40"/>
      <c r="I46" s="40"/>
      <c r="J46" s="40"/>
      <c r="K46" s="40"/>
      <c r="L46" s="40"/>
      <c r="M46" s="40"/>
    </row>
    <row r="47" ht="12.75" customHeight="1">
      <c r="E47" s="40"/>
      <c r="F47" s="40"/>
      <c r="G47" s="40"/>
      <c r="H47" s="40"/>
      <c r="I47" s="40"/>
      <c r="J47" s="40"/>
      <c r="K47" s="40"/>
      <c r="L47" s="40"/>
      <c r="M47" s="40"/>
    </row>
    <row r="48" ht="12.75" customHeight="1">
      <c r="E48" s="40"/>
      <c r="F48" s="40"/>
      <c r="G48" s="40"/>
      <c r="H48" s="40"/>
      <c r="I48" s="40"/>
      <c r="J48" s="40"/>
      <c r="K48" s="40"/>
      <c r="L48" s="40"/>
      <c r="M48" s="40"/>
    </row>
    <row r="49" ht="12.75" customHeight="1">
      <c r="E49" s="40"/>
      <c r="F49" s="40"/>
      <c r="G49" s="40"/>
      <c r="H49" s="40"/>
      <c r="I49" s="40"/>
      <c r="J49" s="40"/>
      <c r="K49" s="40"/>
      <c r="L49" s="40"/>
      <c r="M49" s="40"/>
    </row>
    <row r="50" ht="12.75" customHeight="1">
      <c r="E50" s="40"/>
      <c r="F50" s="40"/>
      <c r="G50" s="40"/>
      <c r="H50" s="40"/>
      <c r="I50" s="40"/>
      <c r="J50" s="40"/>
      <c r="K50" s="40"/>
      <c r="L50" s="40"/>
      <c r="M50" s="40"/>
    </row>
    <row r="51" ht="12.75" customHeight="1">
      <c r="E51" s="40"/>
      <c r="F51" s="40"/>
      <c r="G51" s="40"/>
      <c r="H51" s="40"/>
      <c r="I51" s="40"/>
      <c r="J51" s="40"/>
      <c r="K51" s="40"/>
      <c r="L51" s="40"/>
      <c r="M51" s="40"/>
    </row>
    <row r="52" ht="12.75" customHeight="1">
      <c r="E52" s="40"/>
      <c r="F52" s="40"/>
      <c r="G52" s="40"/>
      <c r="H52" s="40"/>
      <c r="I52" s="40"/>
      <c r="J52" s="40"/>
      <c r="K52" s="40"/>
      <c r="L52" s="40"/>
      <c r="M52" s="40"/>
    </row>
    <row r="53" ht="12.75" customHeight="1">
      <c r="E53" s="40"/>
      <c r="F53" s="40"/>
      <c r="G53" s="40"/>
      <c r="H53" s="40"/>
      <c r="I53" s="40"/>
      <c r="J53" s="40"/>
      <c r="K53" s="40"/>
      <c r="L53" s="40"/>
      <c r="M53" s="40"/>
    </row>
    <row r="54" ht="12.75" customHeight="1">
      <c r="E54" s="40"/>
      <c r="F54" s="40"/>
      <c r="G54" s="40"/>
      <c r="H54" s="40"/>
      <c r="I54" s="40"/>
      <c r="J54" s="40"/>
      <c r="K54" s="40"/>
      <c r="L54" s="40"/>
      <c r="M54" s="40"/>
    </row>
    <row r="55" ht="12.75" customHeight="1">
      <c r="E55" s="40"/>
      <c r="F55" s="40"/>
      <c r="G55" s="40"/>
      <c r="H55" s="40"/>
      <c r="I55" s="40"/>
      <c r="J55" s="40"/>
      <c r="K55" s="40"/>
      <c r="L55" s="40"/>
      <c r="M55" s="40"/>
    </row>
    <row r="56" ht="12.75" customHeight="1">
      <c r="E56" s="40"/>
      <c r="F56" s="40"/>
      <c r="G56" s="40"/>
      <c r="H56" s="40"/>
      <c r="I56" s="40"/>
      <c r="J56" s="40"/>
      <c r="K56" s="40"/>
      <c r="L56" s="40"/>
      <c r="M56" s="40"/>
    </row>
    <row r="57" ht="12.75" customHeight="1">
      <c r="E57" s="40"/>
      <c r="F57" s="40"/>
      <c r="G57" s="40"/>
      <c r="H57" s="40"/>
      <c r="I57" s="40"/>
      <c r="J57" s="40"/>
      <c r="K57" s="40"/>
      <c r="L57" s="40"/>
      <c r="M57" s="40"/>
    </row>
    <row r="58" ht="12.75" customHeight="1">
      <c r="E58" s="40"/>
      <c r="F58" s="40"/>
      <c r="G58" s="40"/>
      <c r="H58" s="40"/>
      <c r="I58" s="40"/>
      <c r="J58" s="40"/>
      <c r="K58" s="40"/>
      <c r="L58" s="40"/>
      <c r="M58" s="40"/>
    </row>
    <row r="59" ht="12.75" customHeight="1">
      <c r="E59" s="40"/>
      <c r="F59" s="40"/>
      <c r="G59" s="40"/>
      <c r="H59" s="40"/>
      <c r="I59" s="40"/>
      <c r="J59" s="40"/>
      <c r="K59" s="40"/>
      <c r="L59" s="40"/>
      <c r="M59" s="40"/>
    </row>
    <row r="60" ht="12.75" customHeight="1">
      <c r="E60" s="40"/>
      <c r="F60" s="40"/>
      <c r="G60" s="40"/>
      <c r="H60" s="40"/>
      <c r="I60" s="40"/>
      <c r="J60" s="40"/>
      <c r="K60" s="40"/>
      <c r="L60" s="40"/>
      <c r="M60" s="40"/>
    </row>
    <row r="61" ht="12.75" customHeight="1">
      <c r="E61" s="40"/>
      <c r="F61" s="40"/>
      <c r="G61" s="40"/>
      <c r="H61" s="40"/>
      <c r="I61" s="40"/>
      <c r="J61" s="40"/>
      <c r="K61" s="40"/>
      <c r="L61" s="40"/>
      <c r="M61" s="40"/>
    </row>
    <row r="62" ht="12.75" customHeight="1">
      <c r="E62" s="40"/>
      <c r="F62" s="40"/>
      <c r="G62" s="40"/>
      <c r="H62" s="40"/>
      <c r="I62" s="40"/>
      <c r="J62" s="40"/>
      <c r="K62" s="40"/>
      <c r="L62" s="40"/>
      <c r="M62" s="40"/>
    </row>
    <row r="63" ht="12.75" customHeight="1">
      <c r="E63" s="40"/>
      <c r="F63" s="40"/>
      <c r="G63" s="40"/>
      <c r="H63" s="40"/>
      <c r="I63" s="40"/>
      <c r="J63" s="40"/>
      <c r="K63" s="40"/>
      <c r="L63" s="40"/>
      <c r="M63" s="40"/>
    </row>
    <row r="64" ht="12.75" customHeight="1">
      <c r="E64" s="40"/>
      <c r="F64" s="40"/>
      <c r="G64" s="40"/>
      <c r="H64" s="40"/>
      <c r="I64" s="40"/>
      <c r="J64" s="40"/>
      <c r="K64" s="40"/>
      <c r="L64" s="40"/>
      <c r="M64" s="40"/>
    </row>
    <row r="65" ht="12.75" customHeight="1">
      <c r="E65" s="40"/>
      <c r="F65" s="40"/>
      <c r="G65" s="40"/>
      <c r="H65" s="40"/>
      <c r="I65" s="40"/>
      <c r="J65" s="40"/>
      <c r="K65" s="40"/>
      <c r="L65" s="40"/>
      <c r="M65" s="40"/>
    </row>
    <row r="66" ht="12.75" customHeight="1">
      <c r="E66" s="40"/>
      <c r="F66" s="40"/>
      <c r="G66" s="40"/>
      <c r="H66" s="40"/>
      <c r="I66" s="40"/>
      <c r="J66" s="40"/>
      <c r="K66" s="40"/>
      <c r="L66" s="40"/>
      <c r="M66" s="40"/>
    </row>
    <row r="67" ht="12.75" customHeight="1">
      <c r="E67" s="40"/>
      <c r="F67" s="40"/>
      <c r="G67" s="40"/>
      <c r="H67" s="40"/>
      <c r="I67" s="40"/>
      <c r="J67" s="40"/>
      <c r="K67" s="40"/>
      <c r="L67" s="40"/>
      <c r="M67" s="40"/>
    </row>
    <row r="68" ht="12.75" customHeight="1">
      <c r="E68" s="40"/>
      <c r="F68" s="40"/>
      <c r="G68" s="40"/>
      <c r="H68" s="40"/>
      <c r="I68" s="40"/>
      <c r="J68" s="40"/>
      <c r="K68" s="40"/>
      <c r="L68" s="40"/>
      <c r="M68" s="40"/>
    </row>
    <row r="69" ht="12.75" customHeight="1">
      <c r="E69" s="40"/>
      <c r="F69" s="40"/>
      <c r="G69" s="40"/>
      <c r="H69" s="40"/>
      <c r="I69" s="40"/>
      <c r="J69" s="40"/>
      <c r="K69" s="40"/>
      <c r="L69" s="40"/>
      <c r="M69" s="40"/>
    </row>
    <row r="70" ht="12.75" customHeight="1">
      <c r="E70" s="40"/>
      <c r="F70" s="40"/>
      <c r="G70" s="40"/>
      <c r="H70" s="40"/>
      <c r="I70" s="40"/>
      <c r="J70" s="40"/>
      <c r="K70" s="40"/>
      <c r="L70" s="40"/>
      <c r="M70" s="40"/>
    </row>
    <row r="71" ht="12.75" customHeight="1">
      <c r="E71" s="40"/>
      <c r="F71" s="40"/>
      <c r="G71" s="40"/>
      <c r="H71" s="40"/>
      <c r="I71" s="40"/>
      <c r="J71" s="40"/>
      <c r="K71" s="40"/>
      <c r="L71" s="40"/>
      <c r="M71" s="40"/>
    </row>
    <row r="72" ht="12.75" customHeight="1">
      <c r="E72" s="40"/>
      <c r="F72" s="40"/>
      <c r="G72" s="40"/>
      <c r="H72" s="40"/>
      <c r="I72" s="40"/>
      <c r="J72" s="40"/>
      <c r="K72" s="40"/>
      <c r="L72" s="40"/>
      <c r="M72" s="40"/>
    </row>
    <row r="73" ht="12.75" customHeight="1">
      <c r="E73" s="40"/>
      <c r="F73" s="40"/>
      <c r="G73" s="40"/>
      <c r="H73" s="40"/>
      <c r="I73" s="40"/>
      <c r="J73" s="40"/>
      <c r="K73" s="40"/>
      <c r="L73" s="40"/>
      <c r="M73" s="40"/>
    </row>
    <row r="74" ht="12.75" customHeight="1">
      <c r="E74" s="40"/>
      <c r="F74" s="40"/>
      <c r="G74" s="40"/>
      <c r="H74" s="40"/>
      <c r="I74" s="40"/>
      <c r="J74" s="40"/>
      <c r="K74" s="40"/>
      <c r="L74" s="40"/>
      <c r="M74" s="40"/>
    </row>
    <row r="75" ht="12.75" customHeight="1">
      <c r="E75" s="40"/>
      <c r="F75" s="40"/>
      <c r="G75" s="40"/>
      <c r="H75" s="40"/>
      <c r="I75" s="40"/>
      <c r="J75" s="40"/>
      <c r="K75" s="40"/>
      <c r="L75" s="40"/>
      <c r="M75" s="40"/>
    </row>
    <row r="76" ht="12.75" customHeight="1">
      <c r="E76" s="40"/>
      <c r="F76" s="40"/>
      <c r="G76" s="40"/>
      <c r="H76" s="40"/>
      <c r="I76" s="40"/>
      <c r="J76" s="40"/>
      <c r="K76" s="40"/>
      <c r="L76" s="40"/>
      <c r="M76" s="40"/>
    </row>
    <row r="77" ht="12.75" customHeight="1">
      <c r="E77" s="40"/>
      <c r="F77" s="40"/>
      <c r="G77" s="40"/>
      <c r="H77" s="40"/>
      <c r="I77" s="40"/>
      <c r="J77" s="40"/>
      <c r="K77" s="40"/>
      <c r="L77" s="40"/>
      <c r="M77" s="40"/>
    </row>
    <row r="78" ht="12.75" customHeight="1">
      <c r="E78" s="40"/>
      <c r="F78" s="40"/>
      <c r="G78" s="40"/>
      <c r="H78" s="40"/>
      <c r="I78" s="40"/>
      <c r="J78" s="40"/>
      <c r="K78" s="40"/>
      <c r="L78" s="40"/>
      <c r="M78" s="40"/>
    </row>
    <row r="79" ht="12.75" customHeight="1">
      <c r="E79" s="40"/>
      <c r="F79" s="40"/>
      <c r="G79" s="40"/>
      <c r="H79" s="40"/>
      <c r="I79" s="40"/>
      <c r="J79" s="40"/>
      <c r="K79" s="40"/>
      <c r="L79" s="40"/>
      <c r="M79" s="40"/>
    </row>
    <row r="80" ht="12.75" customHeight="1">
      <c r="E80" s="40"/>
      <c r="F80" s="40"/>
      <c r="G80" s="40"/>
      <c r="H80" s="40"/>
      <c r="I80" s="40"/>
      <c r="J80" s="40"/>
      <c r="K80" s="40"/>
      <c r="L80" s="40"/>
      <c r="M80" s="40"/>
    </row>
    <row r="81" ht="12.75" customHeight="1">
      <c r="E81" s="40"/>
      <c r="F81" s="40"/>
      <c r="G81" s="40"/>
      <c r="H81" s="40"/>
      <c r="I81" s="40"/>
      <c r="J81" s="40"/>
      <c r="K81" s="40"/>
      <c r="L81" s="40"/>
      <c r="M81" s="40"/>
    </row>
    <row r="82" ht="12.75" customHeight="1">
      <c r="E82" s="40"/>
      <c r="F82" s="40"/>
      <c r="G82" s="40"/>
      <c r="H82" s="40"/>
      <c r="I82" s="40"/>
      <c r="J82" s="40"/>
      <c r="K82" s="40"/>
      <c r="L82" s="40"/>
      <c r="M82" s="40"/>
    </row>
    <row r="83" ht="12.75" customHeight="1">
      <c r="E83" s="40"/>
      <c r="F83" s="40"/>
      <c r="G83" s="40"/>
      <c r="H83" s="40"/>
      <c r="I83" s="40"/>
      <c r="J83" s="40"/>
      <c r="K83" s="40"/>
      <c r="L83" s="40"/>
      <c r="M83" s="40"/>
    </row>
    <row r="84" ht="12.75" customHeight="1">
      <c r="E84" s="40"/>
      <c r="F84" s="40"/>
      <c r="G84" s="40"/>
      <c r="H84" s="40"/>
      <c r="I84" s="40"/>
      <c r="J84" s="40"/>
      <c r="K84" s="40"/>
      <c r="L84" s="40"/>
      <c r="M84" s="40"/>
    </row>
    <row r="85" ht="12.75" customHeight="1">
      <c r="E85" s="40"/>
      <c r="F85" s="40"/>
      <c r="G85" s="40"/>
      <c r="H85" s="40"/>
      <c r="I85" s="40"/>
      <c r="J85" s="40"/>
      <c r="K85" s="40"/>
      <c r="L85" s="40"/>
      <c r="M85" s="40"/>
    </row>
    <row r="86" ht="12.75" customHeight="1">
      <c r="E86" s="40"/>
      <c r="F86" s="40"/>
      <c r="G86" s="40"/>
      <c r="H86" s="40"/>
      <c r="I86" s="40"/>
      <c r="J86" s="40"/>
      <c r="K86" s="40"/>
      <c r="L86" s="40"/>
      <c r="M86" s="40"/>
    </row>
    <row r="87" ht="12.75" customHeight="1">
      <c r="E87" s="40"/>
      <c r="F87" s="40"/>
      <c r="G87" s="40"/>
      <c r="H87" s="40"/>
      <c r="I87" s="40"/>
      <c r="J87" s="40"/>
      <c r="K87" s="40"/>
      <c r="L87" s="40"/>
      <c r="M87" s="40"/>
    </row>
    <row r="88" ht="12.75" customHeight="1">
      <c r="E88" s="40"/>
      <c r="F88" s="40"/>
      <c r="G88" s="40"/>
      <c r="H88" s="40"/>
      <c r="I88" s="40"/>
      <c r="J88" s="40"/>
      <c r="K88" s="40"/>
      <c r="L88" s="40"/>
      <c r="M88" s="40"/>
    </row>
    <row r="89" ht="12.75" customHeight="1">
      <c r="E89" s="40"/>
      <c r="F89" s="40"/>
      <c r="G89" s="40"/>
      <c r="H89" s="40"/>
      <c r="I89" s="40"/>
      <c r="J89" s="40"/>
      <c r="K89" s="40"/>
      <c r="L89" s="40"/>
      <c r="M89" s="40"/>
    </row>
    <row r="90" ht="12.75" customHeight="1">
      <c r="E90" s="40"/>
      <c r="F90" s="40"/>
      <c r="G90" s="40"/>
      <c r="H90" s="40"/>
      <c r="I90" s="40"/>
      <c r="J90" s="40"/>
      <c r="K90" s="40"/>
      <c r="L90" s="40"/>
      <c r="M90" s="40"/>
    </row>
    <row r="91" ht="12.75" customHeight="1">
      <c r="E91" s="40"/>
      <c r="F91" s="40"/>
      <c r="G91" s="40"/>
      <c r="H91" s="40"/>
      <c r="I91" s="40"/>
      <c r="J91" s="40"/>
      <c r="K91" s="40"/>
      <c r="L91" s="40"/>
      <c r="M91" s="40"/>
    </row>
    <row r="92" ht="12.75" customHeight="1">
      <c r="E92" s="40"/>
      <c r="F92" s="40"/>
      <c r="G92" s="40"/>
      <c r="H92" s="40"/>
      <c r="I92" s="40"/>
      <c r="J92" s="40"/>
      <c r="K92" s="40"/>
      <c r="L92" s="40"/>
      <c r="M92" s="40"/>
    </row>
    <row r="93" ht="12.75" customHeight="1">
      <c r="E93" s="40"/>
      <c r="F93" s="40"/>
      <c r="G93" s="40"/>
      <c r="H93" s="40"/>
      <c r="I93" s="40"/>
      <c r="J93" s="40"/>
      <c r="K93" s="40"/>
      <c r="L93" s="40"/>
      <c r="M93" s="40"/>
    </row>
    <row r="94" ht="12.75" customHeight="1">
      <c r="E94" s="40"/>
      <c r="F94" s="40"/>
      <c r="G94" s="40"/>
      <c r="H94" s="40"/>
      <c r="I94" s="40"/>
      <c r="J94" s="40"/>
      <c r="K94" s="40"/>
      <c r="L94" s="40"/>
      <c r="M94" s="40"/>
    </row>
    <row r="95" ht="12.75" customHeight="1">
      <c r="E95" s="40"/>
      <c r="F95" s="40"/>
      <c r="G95" s="40"/>
      <c r="H95" s="40"/>
      <c r="I95" s="40"/>
      <c r="J95" s="40"/>
      <c r="K95" s="40"/>
      <c r="L95" s="40"/>
      <c r="M95" s="40"/>
    </row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autoFilter ref="$A$4:$O$44">
    <sortState ref="A4:O44">
      <sortCondition ref="B4:B44"/>
    </sortState>
  </autoFilter>
  <printOptions/>
  <pageMargins bottom="1.0" footer="0.0" header="0.0" left="0.75" right="0.75" top="1.0"/>
  <pageSetup paperSize="9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5.38"/>
    <col customWidth="1" min="2" max="2" width="44.38"/>
    <col customWidth="1" hidden="1" min="3" max="3" width="14.13"/>
    <col customWidth="1" hidden="1" min="4" max="4" width="12.13"/>
    <col customWidth="1" hidden="1" min="5" max="5" width="14.13"/>
    <col customWidth="1" hidden="1" min="6" max="7" width="10.63"/>
    <col customWidth="1" hidden="1" min="8" max="8" width="9.88"/>
    <col customWidth="1" hidden="1" min="9" max="9" width="11.88"/>
    <col customWidth="1" hidden="1" min="10" max="10" width="14.0"/>
    <col customWidth="1" hidden="1" min="11" max="11" width="8.13"/>
    <col customWidth="1" hidden="1" min="12" max="12" width="16.13"/>
    <col customWidth="1" min="13" max="13" width="13.63"/>
    <col customWidth="1" hidden="1" min="14" max="14" width="6.88"/>
    <col customWidth="1" min="15" max="15" width="25.38"/>
    <col customWidth="1" min="16" max="26" width="9.13"/>
  </cols>
  <sheetData>
    <row r="1" ht="12.75" customHeight="1">
      <c r="A1" s="78" t="s">
        <v>138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 ht="12.75" customHeight="1">
      <c r="A2" s="19" t="s">
        <v>28</v>
      </c>
      <c r="B2" s="19"/>
      <c r="C2" s="19"/>
      <c r="D2" s="19"/>
      <c r="E2" s="19"/>
      <c r="F2" s="20"/>
      <c r="K2" s="19"/>
      <c r="L2" s="19"/>
    </row>
    <row r="3" ht="12.75" customHeight="1">
      <c r="A3" s="19" t="s">
        <v>29</v>
      </c>
      <c r="B3" s="19"/>
      <c r="K3" s="19"/>
      <c r="L3" s="19"/>
    </row>
    <row r="4" ht="12.75" customHeight="1">
      <c r="A4" s="21" t="s">
        <v>30</v>
      </c>
      <c r="B4" s="21" t="s">
        <v>3</v>
      </c>
      <c r="C4" s="21" t="s">
        <v>4</v>
      </c>
      <c r="D4" s="21" t="s">
        <v>5</v>
      </c>
      <c r="E4" s="22">
        <v>1.0</v>
      </c>
      <c r="F4" s="22">
        <v>2.0</v>
      </c>
      <c r="G4" s="22">
        <v>3.0</v>
      </c>
      <c r="H4" s="22">
        <v>4.0</v>
      </c>
      <c r="I4" s="22">
        <v>5.0</v>
      </c>
      <c r="J4" s="22" t="s">
        <v>31</v>
      </c>
      <c r="K4" s="23" t="s">
        <v>32</v>
      </c>
      <c r="L4" s="22" t="s">
        <v>33</v>
      </c>
      <c r="M4" s="22" t="s">
        <v>34</v>
      </c>
      <c r="N4" s="18" t="s">
        <v>32</v>
      </c>
      <c r="O4" s="24" t="s">
        <v>35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 ht="12.75" customHeight="1">
      <c r="A5" s="80">
        <v>1.0</v>
      </c>
      <c r="B5" s="27" t="s">
        <v>59</v>
      </c>
      <c r="C5" s="28"/>
      <c r="D5" s="28"/>
      <c r="E5" s="29">
        <v>19.84</v>
      </c>
      <c r="F5" s="29">
        <v>14.12</v>
      </c>
      <c r="G5" s="29" t="s">
        <v>139</v>
      </c>
      <c r="H5" s="29">
        <v>15.96</v>
      </c>
      <c r="I5" s="29">
        <v>15.85</v>
      </c>
      <c r="J5" s="30">
        <f t="shared" ref="J5:J79" si="1">IF(MIN(E5:I5)&gt;0,MIN(E5:I5),IF(COUNTBLANK(E5:I5)=5,"","DNF"))</f>
        <v>14.12</v>
      </c>
      <c r="K5" s="30"/>
      <c r="L5" s="30" t="str">
        <f t="shared" ref="L5:L79" si="2">IF(COUNTBLANK(E5:I5)&gt;0,"",IF(COUNTIF(E5:I5,"DNF")+COUNTIF(E5:I5,"DNS")&gt;0,"DNF",MAX(E5:I5)))</f>
        <v>DNF</v>
      </c>
      <c r="M5" s="30">
        <f>IF(COUNTBLANK(E5:I5)&gt;0,"",IF(COUNTIF(E5:I5,"DNF")+COUNTIF(E5:I5,"DNS")&gt;1,"DNF",ROUND(IF(COUNTIF(E5:I5,"DNF")+COUNTIF(E5:I5,"DNS")&gt;0,(SUM(E5:I5)-J5)/3,(SUM(E5:I5)-J5-L5)/3),2)))</f>
        <v>17.22</v>
      </c>
      <c r="N5" s="25"/>
      <c r="O5" s="31">
        <f t="shared" ref="O5:O79" si="3">M5/86400</f>
        <v>0.0001993055556</v>
      </c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</row>
    <row r="6" ht="12.75" customHeight="1">
      <c r="A6" s="80">
        <v>2.0</v>
      </c>
      <c r="B6" s="27" t="s">
        <v>56</v>
      </c>
      <c r="C6" s="28"/>
      <c r="D6" s="28"/>
      <c r="E6" s="29">
        <v>15.88</v>
      </c>
      <c r="F6" s="29">
        <v>17.25</v>
      </c>
      <c r="G6" s="29">
        <v>17.39</v>
      </c>
      <c r="H6" s="29">
        <v>18.01</v>
      </c>
      <c r="I6" s="29">
        <v>19.2</v>
      </c>
      <c r="J6" s="30">
        <f t="shared" si="1"/>
        <v>15.88</v>
      </c>
      <c r="K6" s="30"/>
      <c r="L6" s="30">
        <f t="shared" si="2"/>
        <v>19.2</v>
      </c>
      <c r="M6" s="30">
        <f>IF(COUNTBLANK(E6:I6)&gt;0,"",IF(COUNTIF(E6:I6,"DNF")+COUNTIF(E6:I6,"DNS")&gt;1,"DNF",IF(COUNTIF(E6:I6,"DNF")+COUNTIF(E6:I6,"DNS")&gt;0,(SUM(E6:I6)-J6)/3,(SUM(E6:I6)-J6-L6)/3)))</f>
        <v>17.55</v>
      </c>
      <c r="N6" s="25"/>
      <c r="O6" s="31">
        <f t="shared" si="3"/>
        <v>0.000203125</v>
      </c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</row>
    <row r="7" ht="12.75" customHeight="1">
      <c r="A7" s="80">
        <v>3.0</v>
      </c>
      <c r="B7" s="27" t="s">
        <v>130</v>
      </c>
      <c r="C7" s="28"/>
      <c r="D7" s="28"/>
      <c r="E7" s="29">
        <v>16.55</v>
      </c>
      <c r="F7" s="29">
        <v>19.45</v>
      </c>
      <c r="G7" s="29">
        <v>20.6</v>
      </c>
      <c r="H7" s="29">
        <v>19.41</v>
      </c>
      <c r="I7" s="29">
        <v>17.25</v>
      </c>
      <c r="J7" s="30">
        <f t="shared" si="1"/>
        <v>16.55</v>
      </c>
      <c r="K7" s="30"/>
      <c r="L7" s="30">
        <f t="shared" si="2"/>
        <v>20.6</v>
      </c>
      <c r="M7" s="30">
        <f t="shared" ref="M7:M79" si="4">IF(COUNTBLANK(E7:I7)&gt;0,"",IF(COUNTIF(E7:I7,"DNF")+COUNTIF(E7:I7,"DNS")&gt;1,"DNF",ROUND(IF(COUNTIF(E7:I7,"DNF")+COUNTIF(E7:I7,"DNS")&gt;0,(SUM(E7:I7)-J7)/3,(SUM(E7:I7)-J7-L7)/3),2)))</f>
        <v>18.7</v>
      </c>
      <c r="N7" s="25"/>
      <c r="O7" s="31">
        <f t="shared" si="3"/>
        <v>0.0002164351852</v>
      </c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</row>
    <row r="8" ht="12.75" customHeight="1">
      <c r="A8" s="80">
        <v>4.0</v>
      </c>
      <c r="B8" s="27" t="s">
        <v>131</v>
      </c>
      <c r="C8" s="28"/>
      <c r="D8" s="28"/>
      <c r="E8" s="29">
        <v>18.1</v>
      </c>
      <c r="F8" s="29">
        <v>18.06</v>
      </c>
      <c r="G8" s="29">
        <v>19.18</v>
      </c>
      <c r="H8" s="29">
        <v>26.98</v>
      </c>
      <c r="I8" s="29">
        <v>22.1</v>
      </c>
      <c r="J8" s="30">
        <f t="shared" si="1"/>
        <v>18.06</v>
      </c>
      <c r="K8" s="30"/>
      <c r="L8" s="30">
        <f t="shared" si="2"/>
        <v>26.98</v>
      </c>
      <c r="M8" s="30">
        <f t="shared" si="4"/>
        <v>19.79</v>
      </c>
      <c r="N8" s="25"/>
      <c r="O8" s="31">
        <f t="shared" si="3"/>
        <v>0.0002290509259</v>
      </c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</row>
    <row r="9" ht="12.75" customHeight="1">
      <c r="A9" s="80">
        <v>5.0</v>
      </c>
      <c r="B9" s="27" t="s">
        <v>128</v>
      </c>
      <c r="C9" s="33"/>
      <c r="D9" s="33"/>
      <c r="E9" s="81">
        <v>21.61</v>
      </c>
      <c r="F9" s="29" t="s">
        <v>139</v>
      </c>
      <c r="G9" s="29">
        <v>17.23</v>
      </c>
      <c r="H9" s="29">
        <v>18.18</v>
      </c>
      <c r="I9" s="29">
        <v>19.99</v>
      </c>
      <c r="J9" s="30">
        <f t="shared" si="1"/>
        <v>17.23</v>
      </c>
      <c r="K9" s="30"/>
      <c r="L9" s="30" t="str">
        <f t="shared" si="2"/>
        <v>DNF</v>
      </c>
      <c r="M9" s="30">
        <f t="shared" si="4"/>
        <v>19.93</v>
      </c>
      <c r="N9" s="25"/>
      <c r="O9" s="31">
        <f t="shared" si="3"/>
        <v>0.0002306712963</v>
      </c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 ht="12.75" customHeight="1">
      <c r="A10" s="80">
        <v>6.0</v>
      </c>
      <c r="B10" s="27" t="s">
        <v>86</v>
      </c>
      <c r="C10" s="28"/>
      <c r="D10" s="28"/>
      <c r="E10" s="29">
        <v>16.24</v>
      </c>
      <c r="F10" s="29">
        <v>18.02</v>
      </c>
      <c r="G10" s="29">
        <v>22.75</v>
      </c>
      <c r="H10" s="29">
        <v>24.49</v>
      </c>
      <c r="I10" s="29">
        <v>20.3</v>
      </c>
      <c r="J10" s="30">
        <f t="shared" si="1"/>
        <v>16.24</v>
      </c>
      <c r="K10" s="30"/>
      <c r="L10" s="30">
        <f t="shared" si="2"/>
        <v>24.49</v>
      </c>
      <c r="M10" s="30">
        <f t="shared" si="4"/>
        <v>20.36</v>
      </c>
      <c r="N10" s="25"/>
      <c r="O10" s="31">
        <f t="shared" si="3"/>
        <v>0.0002356481481</v>
      </c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 ht="12.75" customHeight="1">
      <c r="A11" s="80">
        <v>7.0</v>
      </c>
      <c r="B11" s="27" t="s">
        <v>129</v>
      </c>
      <c r="C11" s="28"/>
      <c r="D11" s="28"/>
      <c r="E11" s="29">
        <v>19.96</v>
      </c>
      <c r="F11" s="29">
        <v>24.58</v>
      </c>
      <c r="G11" s="29">
        <v>28.64</v>
      </c>
      <c r="H11" s="29">
        <v>18.02</v>
      </c>
      <c r="I11" s="29">
        <v>17.99</v>
      </c>
      <c r="J11" s="30">
        <f t="shared" si="1"/>
        <v>17.99</v>
      </c>
      <c r="K11" s="30"/>
      <c r="L11" s="30">
        <f t="shared" si="2"/>
        <v>28.64</v>
      </c>
      <c r="M11" s="30">
        <f t="shared" si="4"/>
        <v>20.85</v>
      </c>
      <c r="N11" s="25"/>
      <c r="O11" s="31">
        <f t="shared" si="3"/>
        <v>0.0002413194444</v>
      </c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 ht="12.75" customHeight="1">
      <c r="A12" s="80">
        <v>8.0</v>
      </c>
      <c r="B12" s="27" t="s">
        <v>47</v>
      </c>
      <c r="C12" s="28"/>
      <c r="D12" s="28"/>
      <c r="E12" s="29">
        <v>23.77</v>
      </c>
      <c r="F12" s="29">
        <v>19.18</v>
      </c>
      <c r="G12" s="29">
        <v>21.84</v>
      </c>
      <c r="H12" s="29">
        <v>21.55</v>
      </c>
      <c r="I12" s="29">
        <v>18.38</v>
      </c>
      <c r="J12" s="30">
        <f t="shared" si="1"/>
        <v>18.38</v>
      </c>
      <c r="K12" s="30"/>
      <c r="L12" s="30">
        <f t="shared" si="2"/>
        <v>23.77</v>
      </c>
      <c r="M12" s="30">
        <f t="shared" si="4"/>
        <v>20.86</v>
      </c>
      <c r="N12" s="25"/>
      <c r="O12" s="31">
        <f t="shared" si="3"/>
        <v>0.0002414351852</v>
      </c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 ht="12.75" customHeight="1">
      <c r="A13" s="80">
        <v>9.0</v>
      </c>
      <c r="B13" s="27" t="s">
        <v>73</v>
      </c>
      <c r="C13" s="28"/>
      <c r="D13" s="28"/>
      <c r="E13" s="29">
        <v>23.97</v>
      </c>
      <c r="F13" s="29">
        <v>17.45</v>
      </c>
      <c r="G13" s="29">
        <v>17.86</v>
      </c>
      <c r="H13" s="29">
        <v>26.12</v>
      </c>
      <c r="I13" s="29">
        <v>24.05</v>
      </c>
      <c r="J13" s="30">
        <f t="shared" si="1"/>
        <v>17.45</v>
      </c>
      <c r="K13" s="30"/>
      <c r="L13" s="30">
        <f t="shared" si="2"/>
        <v>26.12</v>
      </c>
      <c r="M13" s="30">
        <f t="shared" si="4"/>
        <v>21.96</v>
      </c>
      <c r="N13" s="25"/>
      <c r="O13" s="31">
        <f t="shared" si="3"/>
        <v>0.0002541666667</v>
      </c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 ht="12.75" customHeight="1">
      <c r="A14" s="80">
        <v>10.0</v>
      </c>
      <c r="B14" s="27" t="s">
        <v>133</v>
      </c>
      <c r="C14" s="28"/>
      <c r="D14" s="28"/>
      <c r="E14" s="29">
        <v>23.75</v>
      </c>
      <c r="F14" s="29">
        <v>20.66</v>
      </c>
      <c r="G14" s="29">
        <v>23.54</v>
      </c>
      <c r="H14" s="29">
        <v>26.82</v>
      </c>
      <c r="I14" s="29">
        <v>22.83</v>
      </c>
      <c r="J14" s="30">
        <f t="shared" si="1"/>
        <v>20.66</v>
      </c>
      <c r="K14" s="30"/>
      <c r="L14" s="30">
        <f t="shared" si="2"/>
        <v>26.82</v>
      </c>
      <c r="M14" s="30">
        <f t="shared" si="4"/>
        <v>23.37</v>
      </c>
      <c r="N14" s="25"/>
      <c r="O14" s="31">
        <f t="shared" si="3"/>
        <v>0.0002704861111</v>
      </c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ht="12.75" customHeight="1">
      <c r="A15" s="80">
        <v>11.0</v>
      </c>
      <c r="B15" s="27" t="s">
        <v>132</v>
      </c>
      <c r="C15" s="28"/>
      <c r="D15" s="28"/>
      <c r="E15" s="29">
        <v>27.01</v>
      </c>
      <c r="F15" s="29">
        <v>25.89</v>
      </c>
      <c r="G15" s="29">
        <v>23.57</v>
      </c>
      <c r="H15" s="29">
        <v>23.01</v>
      </c>
      <c r="I15" s="29">
        <v>21.74</v>
      </c>
      <c r="J15" s="30">
        <f t="shared" si="1"/>
        <v>21.74</v>
      </c>
      <c r="K15" s="30"/>
      <c r="L15" s="30">
        <f t="shared" si="2"/>
        <v>27.01</v>
      </c>
      <c r="M15" s="30">
        <f t="shared" si="4"/>
        <v>24.16</v>
      </c>
      <c r="N15" s="25"/>
      <c r="O15" s="31">
        <f t="shared" si="3"/>
        <v>0.0002796296296</v>
      </c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ht="12.75" customHeight="1">
      <c r="A16" s="80">
        <v>12.0</v>
      </c>
      <c r="B16" s="27" t="s">
        <v>63</v>
      </c>
      <c r="C16" s="28"/>
      <c r="D16" s="28"/>
      <c r="E16" s="29" t="s">
        <v>139</v>
      </c>
      <c r="F16" s="29">
        <v>23.35</v>
      </c>
      <c r="G16" s="29">
        <v>22.17</v>
      </c>
      <c r="H16" s="29">
        <v>23.79</v>
      </c>
      <c r="I16" s="29">
        <v>43.28</v>
      </c>
      <c r="J16" s="30">
        <f t="shared" si="1"/>
        <v>22.17</v>
      </c>
      <c r="K16" s="30"/>
      <c r="L16" s="30" t="str">
        <f t="shared" si="2"/>
        <v>DNF</v>
      </c>
      <c r="M16" s="30">
        <f t="shared" si="4"/>
        <v>30.14</v>
      </c>
      <c r="N16" s="25"/>
      <c r="O16" s="31">
        <f t="shared" si="3"/>
        <v>0.0003488425926</v>
      </c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 ht="12.75" customHeight="1">
      <c r="A17" s="80">
        <v>13.0</v>
      </c>
      <c r="B17" s="27"/>
      <c r="C17" s="41"/>
      <c r="D17" s="41"/>
      <c r="E17" s="29"/>
      <c r="F17" s="29"/>
      <c r="G17" s="29"/>
      <c r="H17" s="29"/>
      <c r="I17" s="29"/>
      <c r="J17" s="30" t="str">
        <f t="shared" si="1"/>
        <v/>
      </c>
      <c r="K17" s="30"/>
      <c r="L17" s="30" t="str">
        <f t="shared" si="2"/>
        <v/>
      </c>
      <c r="M17" s="30" t="str">
        <f t="shared" si="4"/>
        <v/>
      </c>
      <c r="N17" s="25"/>
      <c r="O17" s="31">
        <f t="shared" si="3"/>
        <v>0</v>
      </c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 ht="12.75" customHeight="1">
      <c r="A18" s="80">
        <v>14.0</v>
      </c>
      <c r="B18" s="27"/>
      <c r="C18" s="28"/>
      <c r="D18" s="28"/>
      <c r="E18" s="29"/>
      <c r="F18" s="29"/>
      <c r="G18" s="29"/>
      <c r="H18" s="29"/>
      <c r="I18" s="29"/>
      <c r="J18" s="30" t="str">
        <f t="shared" si="1"/>
        <v/>
      </c>
      <c r="K18" s="30"/>
      <c r="L18" s="30" t="str">
        <f t="shared" si="2"/>
        <v/>
      </c>
      <c r="M18" s="30" t="str">
        <f t="shared" si="4"/>
        <v/>
      </c>
      <c r="N18" s="25"/>
      <c r="O18" s="31">
        <f t="shared" si="3"/>
        <v>0</v>
      </c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 ht="12.75" customHeight="1">
      <c r="A19" s="80">
        <v>15.0</v>
      </c>
      <c r="B19" s="27"/>
      <c r="C19" s="28"/>
      <c r="D19" s="28"/>
      <c r="E19" s="29"/>
      <c r="F19" s="29"/>
      <c r="G19" s="29"/>
      <c r="H19" s="29"/>
      <c r="I19" s="29"/>
      <c r="J19" s="30" t="str">
        <f t="shared" si="1"/>
        <v/>
      </c>
      <c r="K19" s="30"/>
      <c r="L19" s="30" t="str">
        <f t="shared" si="2"/>
        <v/>
      </c>
      <c r="M19" s="30" t="str">
        <f t="shared" si="4"/>
        <v/>
      </c>
      <c r="N19" s="25"/>
      <c r="O19" s="31">
        <f t="shared" si="3"/>
        <v>0</v>
      </c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 ht="12.75" customHeight="1">
      <c r="A20" s="80">
        <v>16.0</v>
      </c>
      <c r="B20" s="27"/>
      <c r="C20" s="28"/>
      <c r="D20" s="28"/>
      <c r="E20" s="29"/>
      <c r="F20" s="29"/>
      <c r="G20" s="29"/>
      <c r="H20" s="29"/>
      <c r="I20" s="29"/>
      <c r="J20" s="30" t="str">
        <f t="shared" si="1"/>
        <v/>
      </c>
      <c r="K20" s="30"/>
      <c r="L20" s="30" t="str">
        <f t="shared" si="2"/>
        <v/>
      </c>
      <c r="M20" s="30" t="str">
        <f t="shared" si="4"/>
        <v/>
      </c>
      <c r="N20" s="25"/>
      <c r="O20" s="31">
        <f t="shared" si="3"/>
        <v>0</v>
      </c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 ht="12.75" customHeight="1">
      <c r="A21" s="80">
        <v>17.0</v>
      </c>
      <c r="B21" s="27"/>
      <c r="C21" s="28"/>
      <c r="D21" s="28"/>
      <c r="E21" s="29"/>
      <c r="F21" s="29"/>
      <c r="G21" s="29"/>
      <c r="H21" s="29"/>
      <c r="I21" s="29"/>
      <c r="J21" s="30" t="str">
        <f t="shared" si="1"/>
        <v/>
      </c>
      <c r="K21" s="30"/>
      <c r="L21" s="30" t="str">
        <f t="shared" si="2"/>
        <v/>
      </c>
      <c r="M21" s="30" t="str">
        <f t="shared" si="4"/>
        <v/>
      </c>
      <c r="N21" s="25"/>
      <c r="O21" s="31">
        <f t="shared" si="3"/>
        <v>0</v>
      </c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 ht="12.75" customHeight="1">
      <c r="A22" s="80">
        <v>18.0</v>
      </c>
      <c r="B22" s="27"/>
      <c r="C22" s="28"/>
      <c r="D22" s="28"/>
      <c r="E22" s="29"/>
      <c r="F22" s="29"/>
      <c r="G22" s="29"/>
      <c r="H22" s="29"/>
      <c r="I22" s="29"/>
      <c r="J22" s="30" t="str">
        <f t="shared" si="1"/>
        <v/>
      </c>
      <c r="K22" s="30"/>
      <c r="L22" s="30" t="str">
        <f t="shared" si="2"/>
        <v/>
      </c>
      <c r="M22" s="30" t="str">
        <f t="shared" si="4"/>
        <v/>
      </c>
      <c r="N22" s="25"/>
      <c r="O22" s="31">
        <f t="shared" si="3"/>
        <v>0</v>
      </c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 ht="12.75" customHeight="1">
      <c r="A23" s="80">
        <v>19.0</v>
      </c>
      <c r="B23" s="27"/>
      <c r="C23" s="28"/>
      <c r="D23" s="28"/>
      <c r="E23" s="29"/>
      <c r="F23" s="29"/>
      <c r="G23" s="29"/>
      <c r="H23" s="29"/>
      <c r="I23" s="29"/>
      <c r="J23" s="30" t="str">
        <f t="shared" si="1"/>
        <v/>
      </c>
      <c r="K23" s="30"/>
      <c r="L23" s="30" t="str">
        <f t="shared" si="2"/>
        <v/>
      </c>
      <c r="M23" s="30" t="str">
        <f t="shared" si="4"/>
        <v/>
      </c>
      <c r="N23" s="25"/>
      <c r="O23" s="31">
        <f t="shared" si="3"/>
        <v>0</v>
      </c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 ht="12.75" customHeight="1">
      <c r="A24" s="80">
        <v>20.0</v>
      </c>
      <c r="B24" s="27"/>
      <c r="C24" s="33"/>
      <c r="D24" s="33"/>
      <c r="E24" s="29"/>
      <c r="F24" s="29"/>
      <c r="G24" s="29"/>
      <c r="H24" s="29"/>
      <c r="I24" s="29"/>
      <c r="J24" s="30" t="str">
        <f t="shared" si="1"/>
        <v/>
      </c>
      <c r="K24" s="30"/>
      <c r="L24" s="30" t="str">
        <f t="shared" si="2"/>
        <v/>
      </c>
      <c r="M24" s="30" t="str">
        <f t="shared" si="4"/>
        <v/>
      </c>
      <c r="N24" s="25"/>
      <c r="O24" s="31">
        <f t="shared" si="3"/>
        <v>0</v>
      </c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 ht="12.75" customHeight="1">
      <c r="A25" s="80">
        <v>21.0</v>
      </c>
      <c r="B25" s="27"/>
      <c r="C25" s="28"/>
      <c r="D25" s="28"/>
      <c r="E25" s="29"/>
      <c r="F25" s="29"/>
      <c r="G25" s="29"/>
      <c r="H25" s="29"/>
      <c r="I25" s="29"/>
      <c r="J25" s="30" t="str">
        <f t="shared" si="1"/>
        <v/>
      </c>
      <c r="K25" s="30"/>
      <c r="L25" s="30" t="str">
        <f t="shared" si="2"/>
        <v/>
      </c>
      <c r="M25" s="30" t="str">
        <f t="shared" si="4"/>
        <v/>
      </c>
      <c r="N25" s="25"/>
      <c r="O25" s="31">
        <f t="shared" si="3"/>
        <v>0</v>
      </c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 ht="12.75" customHeight="1">
      <c r="A26" s="80">
        <v>22.0</v>
      </c>
      <c r="B26" s="27"/>
      <c r="C26" s="33"/>
      <c r="D26" s="33"/>
      <c r="E26" s="29"/>
      <c r="F26" s="29"/>
      <c r="G26" s="29"/>
      <c r="H26" s="29"/>
      <c r="I26" s="29"/>
      <c r="J26" s="30" t="str">
        <f t="shared" si="1"/>
        <v/>
      </c>
      <c r="K26" s="30"/>
      <c r="L26" s="30" t="str">
        <f t="shared" si="2"/>
        <v/>
      </c>
      <c r="M26" s="30" t="str">
        <f t="shared" si="4"/>
        <v/>
      </c>
      <c r="N26" s="25"/>
      <c r="O26" s="31">
        <f t="shared" si="3"/>
        <v>0</v>
      </c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 ht="12.75" customHeight="1">
      <c r="A27" s="80">
        <v>23.0</v>
      </c>
      <c r="B27" s="27"/>
      <c r="C27" s="28"/>
      <c r="D27" s="28"/>
      <c r="E27" s="29"/>
      <c r="F27" s="29"/>
      <c r="G27" s="29"/>
      <c r="H27" s="29"/>
      <c r="I27" s="29"/>
      <c r="J27" s="30" t="str">
        <f t="shared" si="1"/>
        <v/>
      </c>
      <c r="K27" s="30"/>
      <c r="L27" s="30" t="str">
        <f t="shared" si="2"/>
        <v/>
      </c>
      <c r="M27" s="30" t="str">
        <f t="shared" si="4"/>
        <v/>
      </c>
      <c r="N27" s="25"/>
      <c r="O27" s="31">
        <f t="shared" si="3"/>
        <v>0</v>
      </c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 ht="12.75" customHeight="1">
      <c r="A28" s="80">
        <v>24.0</v>
      </c>
      <c r="B28" s="27"/>
      <c r="C28" s="33"/>
      <c r="D28" s="33"/>
      <c r="E28" s="34"/>
      <c r="F28" s="34"/>
      <c r="G28" s="34"/>
      <c r="H28" s="34"/>
      <c r="I28" s="34"/>
      <c r="J28" s="30" t="str">
        <f t="shared" si="1"/>
        <v/>
      </c>
      <c r="K28" s="30"/>
      <c r="L28" s="30" t="str">
        <f t="shared" si="2"/>
        <v/>
      </c>
      <c r="M28" s="30" t="str">
        <f t="shared" si="4"/>
        <v/>
      </c>
      <c r="N28" s="25"/>
      <c r="O28" s="31">
        <f t="shared" si="3"/>
        <v>0</v>
      </c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ht="12.75" customHeight="1">
      <c r="A29" s="80">
        <v>25.0</v>
      </c>
      <c r="B29" s="27"/>
      <c r="C29" s="28"/>
      <c r="D29" s="28"/>
      <c r="E29" s="29"/>
      <c r="F29" s="29"/>
      <c r="G29" s="29"/>
      <c r="H29" s="29"/>
      <c r="I29" s="29"/>
      <c r="J29" s="30" t="str">
        <f t="shared" si="1"/>
        <v/>
      </c>
      <c r="K29" s="30"/>
      <c r="L29" s="30" t="str">
        <f t="shared" si="2"/>
        <v/>
      </c>
      <c r="M29" s="30" t="str">
        <f t="shared" si="4"/>
        <v/>
      </c>
      <c r="N29" s="25"/>
      <c r="O29" s="31">
        <f t="shared" si="3"/>
        <v>0</v>
      </c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 ht="12.75" customHeight="1">
      <c r="A30" s="80">
        <v>26.0</v>
      </c>
      <c r="B30" s="27"/>
      <c r="C30" s="28"/>
      <c r="D30" s="28"/>
      <c r="E30" s="29"/>
      <c r="F30" s="29"/>
      <c r="G30" s="29"/>
      <c r="H30" s="29"/>
      <c r="I30" s="29"/>
      <c r="J30" s="30" t="str">
        <f t="shared" si="1"/>
        <v/>
      </c>
      <c r="K30" s="30"/>
      <c r="L30" s="30" t="str">
        <f t="shared" si="2"/>
        <v/>
      </c>
      <c r="M30" s="30" t="str">
        <f t="shared" si="4"/>
        <v/>
      </c>
      <c r="N30" s="25"/>
      <c r="O30" s="31">
        <f t="shared" si="3"/>
        <v>0</v>
      </c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 ht="12.75" customHeight="1">
      <c r="A31" s="80">
        <v>27.0</v>
      </c>
      <c r="B31" s="27"/>
      <c r="C31" s="28"/>
      <c r="D31" s="28"/>
      <c r="E31" s="29"/>
      <c r="F31" s="29"/>
      <c r="G31" s="29"/>
      <c r="H31" s="29"/>
      <c r="I31" s="29"/>
      <c r="J31" s="30" t="str">
        <f t="shared" si="1"/>
        <v/>
      </c>
      <c r="K31" s="30"/>
      <c r="L31" s="30" t="str">
        <f t="shared" si="2"/>
        <v/>
      </c>
      <c r="M31" s="30" t="str">
        <f t="shared" si="4"/>
        <v/>
      </c>
      <c r="N31" s="25"/>
      <c r="O31" s="31">
        <f t="shared" si="3"/>
        <v>0</v>
      </c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 ht="12.75" customHeight="1">
      <c r="A32" s="80">
        <v>28.0</v>
      </c>
      <c r="B32" s="27"/>
      <c r="C32" s="28"/>
      <c r="D32" s="28"/>
      <c r="E32" s="29"/>
      <c r="F32" s="29"/>
      <c r="G32" s="29"/>
      <c r="H32" s="29"/>
      <c r="I32" s="29"/>
      <c r="J32" s="30" t="str">
        <f t="shared" si="1"/>
        <v/>
      </c>
      <c r="K32" s="30"/>
      <c r="L32" s="30" t="str">
        <f t="shared" si="2"/>
        <v/>
      </c>
      <c r="M32" s="30" t="str">
        <f t="shared" si="4"/>
        <v/>
      </c>
      <c r="N32" s="25"/>
      <c r="O32" s="31">
        <f t="shared" si="3"/>
        <v>0</v>
      </c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 ht="12.75" customHeight="1">
      <c r="A33" s="55">
        <v>29.0</v>
      </c>
      <c r="B33" s="36"/>
      <c r="C33" s="28"/>
      <c r="D33" s="28"/>
      <c r="E33" s="30"/>
      <c r="F33" s="30"/>
      <c r="G33" s="30"/>
      <c r="H33" s="30"/>
      <c r="I33" s="30"/>
      <c r="J33" s="30" t="str">
        <f t="shared" si="1"/>
        <v/>
      </c>
      <c r="K33" s="30"/>
      <c r="L33" s="30" t="str">
        <f t="shared" si="2"/>
        <v/>
      </c>
      <c r="M33" s="30" t="str">
        <f t="shared" si="4"/>
        <v/>
      </c>
      <c r="N33" s="25"/>
      <c r="O33" s="31">
        <f t="shared" si="3"/>
        <v>0</v>
      </c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ht="12.75" customHeight="1">
      <c r="A34" s="55">
        <v>30.0</v>
      </c>
      <c r="B34" s="36"/>
      <c r="C34" s="28"/>
      <c r="D34" s="28"/>
      <c r="E34" s="30"/>
      <c r="F34" s="30"/>
      <c r="G34" s="30"/>
      <c r="H34" s="30"/>
      <c r="I34" s="30"/>
      <c r="J34" s="30" t="str">
        <f t="shared" si="1"/>
        <v/>
      </c>
      <c r="K34" s="30"/>
      <c r="L34" s="30" t="str">
        <f t="shared" si="2"/>
        <v/>
      </c>
      <c r="M34" s="30" t="str">
        <f t="shared" si="4"/>
        <v/>
      </c>
      <c r="N34" s="25"/>
      <c r="O34" s="31">
        <f t="shared" si="3"/>
        <v>0</v>
      </c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 ht="12.75" customHeight="1">
      <c r="A35" s="55">
        <v>31.0</v>
      </c>
      <c r="B35" s="36"/>
      <c r="C35" s="28"/>
      <c r="D35" s="28"/>
      <c r="E35" s="30"/>
      <c r="F35" s="30"/>
      <c r="G35" s="30"/>
      <c r="H35" s="30"/>
      <c r="I35" s="30"/>
      <c r="J35" s="30" t="str">
        <f t="shared" si="1"/>
        <v/>
      </c>
      <c r="K35" s="30"/>
      <c r="L35" s="30" t="str">
        <f t="shared" si="2"/>
        <v/>
      </c>
      <c r="M35" s="30" t="str">
        <f t="shared" si="4"/>
        <v/>
      </c>
      <c r="N35" s="25"/>
      <c r="O35" s="31">
        <f t="shared" si="3"/>
        <v>0</v>
      </c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 ht="12.75" customHeight="1">
      <c r="A36" s="55">
        <v>32.0</v>
      </c>
      <c r="B36" s="36"/>
      <c r="C36" s="28"/>
      <c r="D36" s="28"/>
      <c r="E36" s="30"/>
      <c r="F36" s="30"/>
      <c r="G36" s="30"/>
      <c r="H36" s="30"/>
      <c r="I36" s="30"/>
      <c r="J36" s="30" t="str">
        <f t="shared" si="1"/>
        <v/>
      </c>
      <c r="K36" s="30"/>
      <c r="L36" s="30" t="str">
        <f t="shared" si="2"/>
        <v/>
      </c>
      <c r="M36" s="30" t="str">
        <f t="shared" si="4"/>
        <v/>
      </c>
      <c r="N36" s="25"/>
      <c r="O36" s="31">
        <f t="shared" si="3"/>
        <v>0</v>
      </c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 ht="12.75" customHeight="1">
      <c r="A37" s="55">
        <v>33.0</v>
      </c>
      <c r="B37" s="36"/>
      <c r="C37" s="28"/>
      <c r="D37" s="28"/>
      <c r="E37" s="30"/>
      <c r="F37" s="30"/>
      <c r="G37" s="30"/>
      <c r="H37" s="30"/>
      <c r="I37" s="30"/>
      <c r="J37" s="30" t="str">
        <f t="shared" si="1"/>
        <v/>
      </c>
      <c r="K37" s="30"/>
      <c r="L37" s="30" t="str">
        <f t="shared" si="2"/>
        <v/>
      </c>
      <c r="M37" s="30" t="str">
        <f t="shared" si="4"/>
        <v/>
      </c>
      <c r="N37" s="25"/>
      <c r="O37" s="31">
        <f t="shared" si="3"/>
        <v>0</v>
      </c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ht="12.75" customHeight="1">
      <c r="A38" s="55">
        <v>34.0</v>
      </c>
      <c r="B38" s="36"/>
      <c r="C38" s="28"/>
      <c r="D38" s="28"/>
      <c r="E38" s="30"/>
      <c r="F38" s="30"/>
      <c r="G38" s="30"/>
      <c r="H38" s="30"/>
      <c r="I38" s="30"/>
      <c r="J38" s="30" t="str">
        <f t="shared" si="1"/>
        <v/>
      </c>
      <c r="K38" s="30"/>
      <c r="L38" s="30" t="str">
        <f t="shared" si="2"/>
        <v/>
      </c>
      <c r="M38" s="30" t="str">
        <f t="shared" si="4"/>
        <v/>
      </c>
      <c r="N38" s="25"/>
      <c r="O38" s="31">
        <f t="shared" si="3"/>
        <v>0</v>
      </c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 ht="12.75" customHeight="1">
      <c r="A39" s="55">
        <v>35.0</v>
      </c>
      <c r="B39" s="36"/>
      <c r="C39" s="28"/>
      <c r="D39" s="28"/>
      <c r="E39" s="30"/>
      <c r="F39" s="30"/>
      <c r="G39" s="30"/>
      <c r="H39" s="30"/>
      <c r="I39" s="30"/>
      <c r="J39" s="30" t="str">
        <f t="shared" si="1"/>
        <v/>
      </c>
      <c r="K39" s="30"/>
      <c r="L39" s="30" t="str">
        <f t="shared" si="2"/>
        <v/>
      </c>
      <c r="M39" s="30" t="str">
        <f t="shared" si="4"/>
        <v/>
      </c>
      <c r="N39" s="25"/>
      <c r="O39" s="31">
        <f t="shared" si="3"/>
        <v>0</v>
      </c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 ht="12.75" customHeight="1">
      <c r="A40" s="55">
        <v>36.0</v>
      </c>
      <c r="B40" s="36"/>
      <c r="C40" s="28"/>
      <c r="D40" s="28"/>
      <c r="E40" s="30"/>
      <c r="F40" s="30"/>
      <c r="G40" s="30"/>
      <c r="H40" s="30"/>
      <c r="I40" s="30"/>
      <c r="J40" s="30" t="str">
        <f t="shared" si="1"/>
        <v/>
      </c>
      <c r="K40" s="30"/>
      <c r="L40" s="30" t="str">
        <f t="shared" si="2"/>
        <v/>
      </c>
      <c r="M40" s="30" t="str">
        <f t="shared" si="4"/>
        <v/>
      </c>
      <c r="N40" s="25"/>
      <c r="O40" s="31">
        <f t="shared" si="3"/>
        <v>0</v>
      </c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 ht="12.75" customHeight="1">
      <c r="A41" s="55">
        <v>37.0</v>
      </c>
      <c r="B41" s="36"/>
      <c r="C41" s="28"/>
      <c r="D41" s="28"/>
      <c r="E41" s="30"/>
      <c r="F41" s="30"/>
      <c r="G41" s="30"/>
      <c r="H41" s="30"/>
      <c r="I41" s="30"/>
      <c r="J41" s="30" t="str">
        <f t="shared" si="1"/>
        <v/>
      </c>
      <c r="K41" s="30"/>
      <c r="L41" s="30" t="str">
        <f t="shared" si="2"/>
        <v/>
      </c>
      <c r="M41" s="30" t="str">
        <f t="shared" si="4"/>
        <v/>
      </c>
      <c r="N41" s="25"/>
      <c r="O41" s="31">
        <f t="shared" si="3"/>
        <v>0</v>
      </c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 ht="12.75" customHeight="1">
      <c r="A42" s="55">
        <f>IF(AND(M41=M42,J41=J42),A41,ROW()-4)</f>
        <v>37</v>
      </c>
      <c r="B42" s="36"/>
      <c r="C42" s="28"/>
      <c r="D42" s="28"/>
      <c r="E42" s="30"/>
      <c r="F42" s="30"/>
      <c r="G42" s="30"/>
      <c r="H42" s="30"/>
      <c r="I42" s="30"/>
      <c r="J42" s="30" t="str">
        <f t="shared" si="1"/>
        <v/>
      </c>
      <c r="K42" s="30"/>
      <c r="L42" s="30" t="str">
        <f t="shared" si="2"/>
        <v/>
      </c>
      <c r="M42" s="30" t="str">
        <f t="shared" si="4"/>
        <v/>
      </c>
      <c r="N42" s="25"/>
      <c r="O42" s="31">
        <f t="shared" si="3"/>
        <v>0</v>
      </c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</row>
    <row r="43" ht="12.75" customHeight="1">
      <c r="A43" s="55">
        <v>15.0</v>
      </c>
      <c r="B43" s="36"/>
      <c r="E43" s="44"/>
      <c r="F43" s="44"/>
      <c r="G43" s="44"/>
      <c r="H43" s="44"/>
      <c r="I43" s="44"/>
      <c r="J43" s="30" t="str">
        <f t="shared" si="1"/>
        <v/>
      </c>
      <c r="K43" s="30"/>
      <c r="L43" s="30" t="str">
        <f t="shared" si="2"/>
        <v/>
      </c>
      <c r="M43" s="30" t="str">
        <f t="shared" si="4"/>
        <v/>
      </c>
      <c r="N43" s="25"/>
      <c r="O43" s="31">
        <f t="shared" si="3"/>
        <v>0</v>
      </c>
    </row>
    <row r="44" ht="12.75" customHeight="1">
      <c r="E44" s="35"/>
      <c r="F44" s="35"/>
      <c r="G44" s="35"/>
      <c r="H44" s="35"/>
      <c r="I44" s="35"/>
      <c r="J44" s="30" t="str">
        <f t="shared" si="1"/>
        <v/>
      </c>
      <c r="K44" s="30"/>
      <c r="L44" s="30" t="str">
        <f t="shared" si="2"/>
        <v/>
      </c>
      <c r="M44" s="30" t="str">
        <f t="shared" si="4"/>
        <v/>
      </c>
      <c r="N44" s="25"/>
      <c r="O44" s="31">
        <f t="shared" si="3"/>
        <v>0</v>
      </c>
    </row>
    <row r="45" ht="12.75" customHeight="1">
      <c r="E45" s="40"/>
      <c r="F45" s="40"/>
      <c r="G45" s="40"/>
      <c r="H45" s="40"/>
      <c r="I45" s="40"/>
      <c r="J45" s="30" t="str">
        <f t="shared" si="1"/>
        <v/>
      </c>
      <c r="K45" s="30"/>
      <c r="L45" s="30" t="str">
        <f t="shared" si="2"/>
        <v/>
      </c>
      <c r="M45" s="30" t="str">
        <f t="shared" si="4"/>
        <v/>
      </c>
      <c r="N45" s="25"/>
      <c r="O45" s="31">
        <f t="shared" si="3"/>
        <v>0</v>
      </c>
    </row>
    <row r="46" ht="12.75" customHeight="1">
      <c r="E46" s="40"/>
      <c r="F46" s="40"/>
      <c r="G46" s="40"/>
      <c r="H46" s="40"/>
      <c r="I46" s="40"/>
      <c r="J46" s="30" t="str">
        <f t="shared" si="1"/>
        <v/>
      </c>
      <c r="K46" s="30"/>
      <c r="L46" s="30" t="str">
        <f t="shared" si="2"/>
        <v/>
      </c>
      <c r="M46" s="30" t="str">
        <f t="shared" si="4"/>
        <v/>
      </c>
      <c r="N46" s="25"/>
      <c r="O46" s="31">
        <f t="shared" si="3"/>
        <v>0</v>
      </c>
    </row>
    <row r="47" ht="12.75" customHeight="1">
      <c r="E47" s="40"/>
      <c r="F47" s="40"/>
      <c r="G47" s="40"/>
      <c r="H47" s="40"/>
      <c r="I47" s="40"/>
      <c r="J47" s="30" t="str">
        <f t="shared" si="1"/>
        <v/>
      </c>
      <c r="K47" s="30"/>
      <c r="L47" s="30" t="str">
        <f t="shared" si="2"/>
        <v/>
      </c>
      <c r="M47" s="30" t="str">
        <f t="shared" si="4"/>
        <v/>
      </c>
      <c r="N47" s="25"/>
      <c r="O47" s="31">
        <f t="shared" si="3"/>
        <v>0</v>
      </c>
    </row>
    <row r="48" ht="12.75" customHeight="1">
      <c r="E48" s="40"/>
      <c r="F48" s="40"/>
      <c r="G48" s="40"/>
      <c r="H48" s="40"/>
      <c r="I48" s="40"/>
      <c r="J48" s="30" t="str">
        <f t="shared" si="1"/>
        <v/>
      </c>
      <c r="K48" s="30"/>
      <c r="L48" s="30" t="str">
        <f t="shared" si="2"/>
        <v/>
      </c>
      <c r="M48" s="30" t="str">
        <f t="shared" si="4"/>
        <v/>
      </c>
      <c r="N48" s="25"/>
      <c r="O48" s="31">
        <f t="shared" si="3"/>
        <v>0</v>
      </c>
    </row>
    <row r="49" ht="12.75" customHeight="1">
      <c r="E49" s="40"/>
      <c r="F49" s="40"/>
      <c r="G49" s="40"/>
      <c r="H49" s="40"/>
      <c r="I49" s="40"/>
      <c r="J49" s="30" t="str">
        <f t="shared" si="1"/>
        <v/>
      </c>
      <c r="K49" s="30"/>
      <c r="L49" s="30" t="str">
        <f t="shared" si="2"/>
        <v/>
      </c>
      <c r="M49" s="30" t="str">
        <f t="shared" si="4"/>
        <v/>
      </c>
      <c r="N49" s="25"/>
      <c r="O49" s="31">
        <f t="shared" si="3"/>
        <v>0</v>
      </c>
    </row>
    <row r="50" ht="12.75" customHeight="1">
      <c r="E50" s="40"/>
      <c r="F50" s="40"/>
      <c r="G50" s="40"/>
      <c r="H50" s="40"/>
      <c r="I50" s="40"/>
      <c r="J50" s="30" t="str">
        <f t="shared" si="1"/>
        <v/>
      </c>
      <c r="K50" s="30"/>
      <c r="L50" s="30" t="str">
        <f t="shared" si="2"/>
        <v/>
      </c>
      <c r="M50" s="30" t="str">
        <f t="shared" si="4"/>
        <v/>
      </c>
      <c r="N50" s="25"/>
      <c r="O50" s="31">
        <f t="shared" si="3"/>
        <v>0</v>
      </c>
    </row>
    <row r="51" ht="12.75" customHeight="1">
      <c r="E51" s="40"/>
      <c r="F51" s="40"/>
      <c r="G51" s="40"/>
      <c r="H51" s="40"/>
      <c r="I51" s="40"/>
      <c r="J51" s="30" t="str">
        <f t="shared" si="1"/>
        <v/>
      </c>
      <c r="K51" s="30"/>
      <c r="L51" s="30" t="str">
        <f t="shared" si="2"/>
        <v/>
      </c>
      <c r="M51" s="30" t="str">
        <f t="shared" si="4"/>
        <v/>
      </c>
      <c r="N51" s="25"/>
      <c r="O51" s="31">
        <f t="shared" si="3"/>
        <v>0</v>
      </c>
    </row>
    <row r="52" ht="12.75" customHeight="1">
      <c r="E52" s="40"/>
      <c r="F52" s="40"/>
      <c r="G52" s="40"/>
      <c r="H52" s="40"/>
      <c r="I52" s="40"/>
      <c r="J52" s="30" t="str">
        <f t="shared" si="1"/>
        <v/>
      </c>
      <c r="K52" s="30"/>
      <c r="L52" s="30" t="str">
        <f t="shared" si="2"/>
        <v/>
      </c>
      <c r="M52" s="30" t="str">
        <f t="shared" si="4"/>
        <v/>
      </c>
      <c r="N52" s="25"/>
      <c r="O52" s="31">
        <f t="shared" si="3"/>
        <v>0</v>
      </c>
    </row>
    <row r="53" ht="12.75" customHeight="1">
      <c r="E53" s="40"/>
      <c r="F53" s="40"/>
      <c r="G53" s="40"/>
      <c r="H53" s="40"/>
      <c r="I53" s="40"/>
      <c r="J53" s="30" t="str">
        <f t="shared" si="1"/>
        <v/>
      </c>
      <c r="K53" s="30"/>
      <c r="L53" s="30" t="str">
        <f t="shared" si="2"/>
        <v/>
      </c>
      <c r="M53" s="30" t="str">
        <f t="shared" si="4"/>
        <v/>
      </c>
      <c r="N53" s="25"/>
      <c r="O53" s="31">
        <f t="shared" si="3"/>
        <v>0</v>
      </c>
    </row>
    <row r="54" ht="12.75" customHeight="1">
      <c r="E54" s="40"/>
      <c r="F54" s="40"/>
      <c r="G54" s="40"/>
      <c r="H54" s="40"/>
      <c r="I54" s="40"/>
      <c r="J54" s="30" t="str">
        <f t="shared" si="1"/>
        <v/>
      </c>
      <c r="K54" s="30"/>
      <c r="L54" s="30" t="str">
        <f t="shared" si="2"/>
        <v/>
      </c>
      <c r="M54" s="30" t="str">
        <f t="shared" si="4"/>
        <v/>
      </c>
      <c r="N54" s="25"/>
      <c r="O54" s="31">
        <f t="shared" si="3"/>
        <v>0</v>
      </c>
    </row>
    <row r="55" ht="12.75" customHeight="1">
      <c r="E55" s="40"/>
      <c r="F55" s="40"/>
      <c r="G55" s="40"/>
      <c r="H55" s="40"/>
      <c r="I55" s="40"/>
      <c r="J55" s="30" t="str">
        <f t="shared" si="1"/>
        <v/>
      </c>
      <c r="K55" s="30"/>
      <c r="L55" s="30" t="str">
        <f t="shared" si="2"/>
        <v/>
      </c>
      <c r="M55" s="30" t="str">
        <f t="shared" si="4"/>
        <v/>
      </c>
      <c r="N55" s="25"/>
      <c r="O55" s="31">
        <f t="shared" si="3"/>
        <v>0</v>
      </c>
    </row>
    <row r="56" ht="12.75" customHeight="1">
      <c r="E56" s="40"/>
      <c r="F56" s="40"/>
      <c r="G56" s="40"/>
      <c r="H56" s="40"/>
      <c r="I56" s="40"/>
      <c r="J56" s="30" t="str">
        <f t="shared" si="1"/>
        <v/>
      </c>
      <c r="K56" s="30"/>
      <c r="L56" s="30" t="str">
        <f t="shared" si="2"/>
        <v/>
      </c>
      <c r="M56" s="30" t="str">
        <f t="shared" si="4"/>
        <v/>
      </c>
      <c r="N56" s="25"/>
      <c r="O56" s="31">
        <f t="shared" si="3"/>
        <v>0</v>
      </c>
    </row>
    <row r="57" ht="12.75" customHeight="1">
      <c r="E57" s="40"/>
      <c r="F57" s="40"/>
      <c r="G57" s="40"/>
      <c r="H57" s="40"/>
      <c r="I57" s="40"/>
      <c r="J57" s="30" t="str">
        <f t="shared" si="1"/>
        <v/>
      </c>
      <c r="K57" s="30"/>
      <c r="L57" s="30" t="str">
        <f t="shared" si="2"/>
        <v/>
      </c>
      <c r="M57" s="30" t="str">
        <f t="shared" si="4"/>
        <v/>
      </c>
      <c r="N57" s="25"/>
      <c r="O57" s="31">
        <f t="shared" si="3"/>
        <v>0</v>
      </c>
    </row>
    <row r="58" ht="12.75" customHeight="1">
      <c r="E58" s="40"/>
      <c r="F58" s="40"/>
      <c r="G58" s="40"/>
      <c r="H58" s="40"/>
      <c r="I58" s="40"/>
      <c r="J58" s="30" t="str">
        <f t="shared" si="1"/>
        <v/>
      </c>
      <c r="K58" s="30"/>
      <c r="L58" s="30" t="str">
        <f t="shared" si="2"/>
        <v/>
      </c>
      <c r="M58" s="30" t="str">
        <f t="shared" si="4"/>
        <v/>
      </c>
      <c r="N58" s="25"/>
      <c r="O58" s="31">
        <f t="shared" si="3"/>
        <v>0</v>
      </c>
    </row>
    <row r="59" ht="12.75" customHeight="1">
      <c r="E59" s="40"/>
      <c r="F59" s="40"/>
      <c r="G59" s="40"/>
      <c r="H59" s="40"/>
      <c r="I59" s="40"/>
      <c r="J59" s="30" t="str">
        <f t="shared" si="1"/>
        <v/>
      </c>
      <c r="K59" s="30"/>
      <c r="L59" s="30" t="str">
        <f t="shared" si="2"/>
        <v/>
      </c>
      <c r="M59" s="30" t="str">
        <f t="shared" si="4"/>
        <v/>
      </c>
      <c r="N59" s="25"/>
      <c r="O59" s="31">
        <f t="shared" si="3"/>
        <v>0</v>
      </c>
    </row>
    <row r="60" ht="12.75" customHeight="1">
      <c r="E60" s="40"/>
      <c r="F60" s="40"/>
      <c r="G60" s="40"/>
      <c r="H60" s="40"/>
      <c r="I60" s="40"/>
      <c r="J60" s="30" t="str">
        <f t="shared" si="1"/>
        <v/>
      </c>
      <c r="K60" s="30"/>
      <c r="L60" s="30" t="str">
        <f t="shared" si="2"/>
        <v/>
      </c>
      <c r="M60" s="30" t="str">
        <f t="shared" si="4"/>
        <v/>
      </c>
      <c r="N60" s="25"/>
      <c r="O60" s="31">
        <f t="shared" si="3"/>
        <v>0</v>
      </c>
    </row>
    <row r="61" ht="12.75" customHeight="1">
      <c r="E61" s="40"/>
      <c r="F61" s="40"/>
      <c r="G61" s="40"/>
      <c r="H61" s="40"/>
      <c r="I61" s="40"/>
      <c r="J61" s="30" t="str">
        <f t="shared" si="1"/>
        <v/>
      </c>
      <c r="K61" s="30"/>
      <c r="L61" s="30" t="str">
        <f t="shared" si="2"/>
        <v/>
      </c>
      <c r="M61" s="30" t="str">
        <f t="shared" si="4"/>
        <v/>
      </c>
      <c r="N61" s="25"/>
      <c r="O61" s="31">
        <f t="shared" si="3"/>
        <v>0</v>
      </c>
    </row>
    <row r="62" ht="12.75" customHeight="1">
      <c r="E62" s="40"/>
      <c r="F62" s="40"/>
      <c r="G62" s="40"/>
      <c r="H62" s="40"/>
      <c r="I62" s="40"/>
      <c r="J62" s="30" t="str">
        <f t="shared" si="1"/>
        <v/>
      </c>
      <c r="K62" s="30"/>
      <c r="L62" s="30" t="str">
        <f t="shared" si="2"/>
        <v/>
      </c>
      <c r="M62" s="30" t="str">
        <f t="shared" si="4"/>
        <v/>
      </c>
      <c r="N62" s="25"/>
      <c r="O62" s="31">
        <f t="shared" si="3"/>
        <v>0</v>
      </c>
    </row>
    <row r="63" ht="12.75" customHeight="1">
      <c r="E63" s="40"/>
      <c r="F63" s="40"/>
      <c r="G63" s="40"/>
      <c r="H63" s="40"/>
      <c r="I63" s="40"/>
      <c r="J63" s="30" t="str">
        <f t="shared" si="1"/>
        <v/>
      </c>
      <c r="K63" s="30"/>
      <c r="L63" s="30" t="str">
        <f t="shared" si="2"/>
        <v/>
      </c>
      <c r="M63" s="30" t="str">
        <f t="shared" si="4"/>
        <v/>
      </c>
      <c r="N63" s="25"/>
      <c r="O63" s="31">
        <f t="shared" si="3"/>
        <v>0</v>
      </c>
    </row>
    <row r="64" ht="12.75" customHeight="1">
      <c r="E64" s="40"/>
      <c r="F64" s="40"/>
      <c r="G64" s="40"/>
      <c r="H64" s="40"/>
      <c r="I64" s="40"/>
      <c r="J64" s="30" t="str">
        <f t="shared" si="1"/>
        <v/>
      </c>
      <c r="K64" s="30"/>
      <c r="L64" s="30" t="str">
        <f t="shared" si="2"/>
        <v/>
      </c>
      <c r="M64" s="30" t="str">
        <f t="shared" si="4"/>
        <v/>
      </c>
      <c r="N64" s="25"/>
      <c r="O64" s="31">
        <f t="shared" si="3"/>
        <v>0</v>
      </c>
    </row>
    <row r="65" ht="12.75" customHeight="1">
      <c r="E65" s="40"/>
      <c r="F65" s="40"/>
      <c r="G65" s="40"/>
      <c r="H65" s="40"/>
      <c r="I65" s="40"/>
      <c r="J65" s="30" t="str">
        <f t="shared" si="1"/>
        <v/>
      </c>
      <c r="K65" s="30"/>
      <c r="L65" s="30" t="str">
        <f t="shared" si="2"/>
        <v/>
      </c>
      <c r="M65" s="30" t="str">
        <f t="shared" si="4"/>
        <v/>
      </c>
      <c r="N65" s="25"/>
      <c r="O65" s="31">
        <f t="shared" si="3"/>
        <v>0</v>
      </c>
    </row>
    <row r="66" ht="12.75" customHeight="1">
      <c r="E66" s="40"/>
      <c r="F66" s="40"/>
      <c r="G66" s="40"/>
      <c r="H66" s="40"/>
      <c r="I66" s="40"/>
      <c r="J66" s="30" t="str">
        <f t="shared" si="1"/>
        <v/>
      </c>
      <c r="K66" s="30"/>
      <c r="L66" s="30" t="str">
        <f t="shared" si="2"/>
        <v/>
      </c>
      <c r="M66" s="30" t="str">
        <f t="shared" si="4"/>
        <v/>
      </c>
      <c r="N66" s="25"/>
      <c r="O66" s="31">
        <f t="shared" si="3"/>
        <v>0</v>
      </c>
    </row>
    <row r="67" ht="12.75" customHeight="1">
      <c r="E67" s="40"/>
      <c r="F67" s="40"/>
      <c r="G67" s="40"/>
      <c r="H67" s="40"/>
      <c r="I67" s="40"/>
      <c r="J67" s="30" t="str">
        <f t="shared" si="1"/>
        <v/>
      </c>
      <c r="K67" s="30"/>
      <c r="L67" s="30" t="str">
        <f t="shared" si="2"/>
        <v/>
      </c>
      <c r="M67" s="30" t="str">
        <f t="shared" si="4"/>
        <v/>
      </c>
      <c r="N67" s="25"/>
      <c r="O67" s="31">
        <f t="shared" si="3"/>
        <v>0</v>
      </c>
    </row>
    <row r="68" ht="12.75" customHeight="1">
      <c r="E68" s="40"/>
      <c r="F68" s="40"/>
      <c r="G68" s="40"/>
      <c r="H68" s="40"/>
      <c r="I68" s="40"/>
      <c r="J68" s="30" t="str">
        <f t="shared" si="1"/>
        <v/>
      </c>
      <c r="K68" s="30"/>
      <c r="L68" s="30" t="str">
        <f t="shared" si="2"/>
        <v/>
      </c>
      <c r="M68" s="30" t="str">
        <f t="shared" si="4"/>
        <v/>
      </c>
      <c r="N68" s="25"/>
      <c r="O68" s="31">
        <f t="shared" si="3"/>
        <v>0</v>
      </c>
    </row>
    <row r="69" ht="12.75" customHeight="1">
      <c r="E69" s="40"/>
      <c r="F69" s="40"/>
      <c r="G69" s="40"/>
      <c r="H69" s="40"/>
      <c r="I69" s="40"/>
      <c r="J69" s="30" t="str">
        <f t="shared" si="1"/>
        <v/>
      </c>
      <c r="K69" s="30"/>
      <c r="L69" s="30" t="str">
        <f t="shared" si="2"/>
        <v/>
      </c>
      <c r="M69" s="30" t="str">
        <f t="shared" si="4"/>
        <v/>
      </c>
      <c r="N69" s="25"/>
      <c r="O69" s="31">
        <f t="shared" si="3"/>
        <v>0</v>
      </c>
    </row>
    <row r="70" ht="12.75" customHeight="1">
      <c r="E70" s="40"/>
      <c r="F70" s="40"/>
      <c r="G70" s="40"/>
      <c r="H70" s="40"/>
      <c r="I70" s="40"/>
      <c r="J70" s="30" t="str">
        <f t="shared" si="1"/>
        <v/>
      </c>
      <c r="K70" s="30"/>
      <c r="L70" s="30" t="str">
        <f t="shared" si="2"/>
        <v/>
      </c>
      <c r="M70" s="30" t="str">
        <f t="shared" si="4"/>
        <v/>
      </c>
      <c r="N70" s="25"/>
      <c r="O70" s="31">
        <f t="shared" si="3"/>
        <v>0</v>
      </c>
    </row>
    <row r="71" ht="12.75" customHeight="1">
      <c r="E71" s="40"/>
      <c r="F71" s="40"/>
      <c r="G71" s="40"/>
      <c r="H71" s="40"/>
      <c r="I71" s="40"/>
      <c r="J71" s="30" t="str">
        <f t="shared" si="1"/>
        <v/>
      </c>
      <c r="K71" s="30"/>
      <c r="L71" s="30" t="str">
        <f t="shared" si="2"/>
        <v/>
      </c>
      <c r="M71" s="30" t="str">
        <f t="shared" si="4"/>
        <v/>
      </c>
      <c r="N71" s="25"/>
      <c r="O71" s="31">
        <f t="shared" si="3"/>
        <v>0</v>
      </c>
    </row>
    <row r="72" ht="12.75" customHeight="1">
      <c r="E72" s="40"/>
      <c r="F72" s="40"/>
      <c r="G72" s="40"/>
      <c r="H72" s="40"/>
      <c r="I72" s="40"/>
      <c r="J72" s="30" t="str">
        <f t="shared" si="1"/>
        <v/>
      </c>
      <c r="K72" s="30"/>
      <c r="L72" s="30" t="str">
        <f t="shared" si="2"/>
        <v/>
      </c>
      <c r="M72" s="30" t="str">
        <f t="shared" si="4"/>
        <v/>
      </c>
      <c r="N72" s="25"/>
      <c r="O72" s="31">
        <f t="shared" si="3"/>
        <v>0</v>
      </c>
    </row>
    <row r="73" ht="12.75" customHeight="1">
      <c r="E73" s="40"/>
      <c r="F73" s="40"/>
      <c r="G73" s="40"/>
      <c r="H73" s="40"/>
      <c r="I73" s="40"/>
      <c r="J73" s="30" t="str">
        <f t="shared" si="1"/>
        <v/>
      </c>
      <c r="K73" s="30"/>
      <c r="L73" s="30" t="str">
        <f t="shared" si="2"/>
        <v/>
      </c>
      <c r="M73" s="30" t="str">
        <f t="shared" si="4"/>
        <v/>
      </c>
      <c r="N73" s="25"/>
      <c r="O73" s="31">
        <f t="shared" si="3"/>
        <v>0</v>
      </c>
    </row>
    <row r="74" ht="12.75" customHeight="1">
      <c r="E74" s="40"/>
      <c r="F74" s="40"/>
      <c r="G74" s="40"/>
      <c r="H74" s="40"/>
      <c r="I74" s="40"/>
      <c r="J74" s="30" t="str">
        <f t="shared" si="1"/>
        <v/>
      </c>
      <c r="K74" s="30"/>
      <c r="L74" s="30" t="str">
        <f t="shared" si="2"/>
        <v/>
      </c>
      <c r="M74" s="30" t="str">
        <f t="shared" si="4"/>
        <v/>
      </c>
      <c r="N74" s="25"/>
      <c r="O74" s="31">
        <f t="shared" si="3"/>
        <v>0</v>
      </c>
    </row>
    <row r="75" ht="12.75" customHeight="1">
      <c r="E75" s="40"/>
      <c r="F75" s="40"/>
      <c r="G75" s="40"/>
      <c r="H75" s="40"/>
      <c r="I75" s="40"/>
      <c r="J75" s="30" t="str">
        <f t="shared" si="1"/>
        <v/>
      </c>
      <c r="K75" s="30"/>
      <c r="L75" s="30" t="str">
        <f t="shared" si="2"/>
        <v/>
      </c>
      <c r="M75" s="30" t="str">
        <f t="shared" si="4"/>
        <v/>
      </c>
      <c r="N75" s="25"/>
      <c r="O75" s="31">
        <f t="shared" si="3"/>
        <v>0</v>
      </c>
    </row>
    <row r="76" ht="12.75" customHeight="1">
      <c r="E76" s="40"/>
      <c r="F76" s="40"/>
      <c r="G76" s="40"/>
      <c r="H76" s="40"/>
      <c r="I76" s="40"/>
      <c r="J76" s="30" t="str">
        <f t="shared" si="1"/>
        <v/>
      </c>
      <c r="K76" s="30"/>
      <c r="L76" s="30" t="str">
        <f t="shared" si="2"/>
        <v/>
      </c>
      <c r="M76" s="30" t="str">
        <f t="shared" si="4"/>
        <v/>
      </c>
      <c r="N76" s="25"/>
      <c r="O76" s="31">
        <f t="shared" si="3"/>
        <v>0</v>
      </c>
    </row>
    <row r="77" ht="12.75" customHeight="1">
      <c r="E77" s="40"/>
      <c r="F77" s="40"/>
      <c r="G77" s="40"/>
      <c r="H77" s="40"/>
      <c r="I77" s="40"/>
      <c r="J77" s="30" t="str">
        <f t="shared" si="1"/>
        <v/>
      </c>
      <c r="K77" s="30"/>
      <c r="L77" s="30" t="str">
        <f t="shared" si="2"/>
        <v/>
      </c>
      <c r="M77" s="30" t="str">
        <f t="shared" si="4"/>
        <v/>
      </c>
      <c r="N77" s="25"/>
      <c r="O77" s="31">
        <f t="shared" si="3"/>
        <v>0</v>
      </c>
    </row>
    <row r="78" ht="12.75" customHeight="1">
      <c r="E78" s="40"/>
      <c r="F78" s="40"/>
      <c r="G78" s="40"/>
      <c r="H78" s="40"/>
      <c r="I78" s="40"/>
      <c r="J78" s="30" t="str">
        <f t="shared" si="1"/>
        <v/>
      </c>
      <c r="K78" s="30"/>
      <c r="L78" s="30" t="str">
        <f t="shared" si="2"/>
        <v/>
      </c>
      <c r="M78" s="30" t="str">
        <f t="shared" si="4"/>
        <v/>
      </c>
      <c r="N78" s="25"/>
      <c r="O78" s="31">
        <f t="shared" si="3"/>
        <v>0</v>
      </c>
    </row>
    <row r="79" ht="12.75" customHeight="1">
      <c r="E79" s="40"/>
      <c r="F79" s="40"/>
      <c r="G79" s="40"/>
      <c r="H79" s="40"/>
      <c r="I79" s="40"/>
      <c r="J79" s="30" t="str">
        <f t="shared" si="1"/>
        <v/>
      </c>
      <c r="K79" s="30"/>
      <c r="L79" s="30" t="str">
        <f t="shared" si="2"/>
        <v/>
      </c>
      <c r="M79" s="30" t="str">
        <f t="shared" si="4"/>
        <v/>
      </c>
      <c r="N79" s="25"/>
      <c r="O79" s="31">
        <f t="shared" si="3"/>
        <v>0</v>
      </c>
    </row>
    <row r="80" ht="12.75" customHeight="1">
      <c r="E80" s="40"/>
      <c r="F80" s="40"/>
      <c r="G80" s="40"/>
      <c r="H80" s="40"/>
      <c r="I80" s="40"/>
      <c r="J80" s="40"/>
      <c r="K80" s="40"/>
      <c r="L80" s="40"/>
      <c r="M80" s="40"/>
    </row>
    <row r="81" ht="12.75" customHeight="1">
      <c r="E81" s="40"/>
      <c r="F81" s="40"/>
      <c r="G81" s="40"/>
      <c r="H81" s="40"/>
      <c r="I81" s="40"/>
      <c r="J81" s="40"/>
      <c r="K81" s="40"/>
      <c r="L81" s="40"/>
      <c r="M81" s="40"/>
    </row>
    <row r="82" ht="12.75" customHeight="1">
      <c r="E82" s="40"/>
      <c r="F82" s="40"/>
      <c r="G82" s="40"/>
      <c r="H82" s="40"/>
      <c r="I82" s="40"/>
      <c r="J82" s="40"/>
      <c r="K82" s="40"/>
      <c r="L82" s="40"/>
      <c r="M82" s="40"/>
    </row>
    <row r="83" ht="12.75" customHeight="1">
      <c r="E83" s="40"/>
      <c r="F83" s="40"/>
      <c r="G83" s="40"/>
      <c r="H83" s="40"/>
      <c r="I83" s="40"/>
      <c r="J83" s="40"/>
      <c r="K83" s="40"/>
      <c r="L83" s="40"/>
      <c r="M83" s="40"/>
    </row>
    <row r="84" ht="12.75" customHeight="1">
      <c r="E84" s="40"/>
      <c r="F84" s="40"/>
      <c r="G84" s="40"/>
      <c r="H84" s="40"/>
      <c r="I84" s="40"/>
      <c r="J84" s="40"/>
      <c r="K84" s="40"/>
      <c r="L84" s="40"/>
      <c r="M84" s="40"/>
    </row>
    <row r="85" ht="12.75" customHeight="1">
      <c r="E85" s="40"/>
      <c r="F85" s="40"/>
      <c r="G85" s="40"/>
      <c r="H85" s="40"/>
      <c r="I85" s="40"/>
      <c r="J85" s="40"/>
      <c r="K85" s="40"/>
      <c r="L85" s="40"/>
      <c r="M85" s="40"/>
    </row>
    <row r="86" ht="12.75" customHeight="1">
      <c r="E86" s="40"/>
      <c r="F86" s="40"/>
      <c r="G86" s="40"/>
      <c r="H86" s="40"/>
      <c r="I86" s="40"/>
      <c r="J86" s="40"/>
      <c r="K86" s="40"/>
      <c r="L86" s="40"/>
      <c r="M86" s="40"/>
    </row>
    <row r="87" ht="12.75" customHeight="1">
      <c r="E87" s="40"/>
      <c r="F87" s="40"/>
      <c r="G87" s="40"/>
      <c r="H87" s="40"/>
      <c r="I87" s="40"/>
      <c r="J87" s="40"/>
      <c r="K87" s="40"/>
      <c r="L87" s="40"/>
      <c r="M87" s="40"/>
    </row>
    <row r="88" ht="12.75" customHeight="1">
      <c r="E88" s="40"/>
      <c r="F88" s="40"/>
      <c r="G88" s="40"/>
      <c r="H88" s="40"/>
      <c r="I88" s="40"/>
      <c r="J88" s="40"/>
      <c r="K88" s="40"/>
      <c r="L88" s="40"/>
      <c r="M88" s="40"/>
    </row>
    <row r="89" ht="12.75" customHeight="1">
      <c r="E89" s="40"/>
      <c r="F89" s="40"/>
      <c r="G89" s="40"/>
      <c r="H89" s="40"/>
      <c r="I89" s="40"/>
      <c r="J89" s="40"/>
      <c r="K89" s="40"/>
      <c r="L89" s="40"/>
      <c r="M89" s="40"/>
    </row>
    <row r="90" ht="12.75" customHeight="1">
      <c r="E90" s="40"/>
      <c r="F90" s="40"/>
      <c r="G90" s="40"/>
      <c r="H90" s="40"/>
      <c r="I90" s="40"/>
      <c r="J90" s="40"/>
      <c r="K90" s="40"/>
      <c r="L90" s="40"/>
      <c r="M90" s="40"/>
    </row>
    <row r="91" ht="12.75" customHeight="1">
      <c r="E91" s="40"/>
      <c r="F91" s="40"/>
      <c r="G91" s="40"/>
      <c r="H91" s="40"/>
      <c r="I91" s="40"/>
      <c r="J91" s="40"/>
      <c r="K91" s="40"/>
      <c r="L91" s="40"/>
      <c r="M91" s="40"/>
    </row>
    <row r="92" ht="12.75" customHeight="1">
      <c r="E92" s="40"/>
      <c r="F92" s="40"/>
      <c r="G92" s="40"/>
      <c r="H92" s="40"/>
      <c r="I92" s="40"/>
      <c r="J92" s="40"/>
      <c r="K92" s="40"/>
      <c r="L92" s="40"/>
      <c r="M92" s="40"/>
    </row>
    <row r="93" ht="12.75" customHeight="1">
      <c r="E93" s="40"/>
      <c r="F93" s="40"/>
      <c r="G93" s="40"/>
      <c r="H93" s="40"/>
      <c r="I93" s="40"/>
      <c r="J93" s="40"/>
      <c r="K93" s="40"/>
      <c r="L93" s="40"/>
      <c r="M93" s="40"/>
    </row>
    <row r="94" ht="12.75" customHeight="1">
      <c r="E94" s="40"/>
      <c r="F94" s="40"/>
      <c r="G94" s="40"/>
      <c r="H94" s="40"/>
      <c r="I94" s="40"/>
      <c r="J94" s="40"/>
      <c r="K94" s="40"/>
      <c r="L94" s="40"/>
      <c r="M94" s="40"/>
    </row>
    <row r="95" ht="12.75" customHeight="1">
      <c r="E95" s="40"/>
      <c r="F95" s="40"/>
      <c r="G95" s="40"/>
      <c r="H95" s="40"/>
      <c r="I95" s="40"/>
      <c r="J95" s="40"/>
      <c r="K95" s="40"/>
      <c r="L95" s="40"/>
      <c r="M95" s="40"/>
    </row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autoFilter ref="$A$4:$O$44">
    <sortState ref="A4:O44">
      <sortCondition ref="B4:B44"/>
    </sortState>
  </autoFilter>
  <printOptions/>
  <pageMargins bottom="1.0" footer="0.0" header="0.0" left="0.75" right="0.75" top="1.0"/>
  <pageSetup paperSize="9"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5.38"/>
    <col customWidth="1" min="2" max="2" width="42.63"/>
    <col customWidth="1" hidden="1" min="3" max="3" width="14.13"/>
    <col customWidth="1" hidden="1" min="4" max="4" width="12.13"/>
    <col customWidth="1" min="5" max="5" width="14.13"/>
    <col customWidth="1" min="6" max="7" width="10.63"/>
    <col customWidth="1" min="8" max="8" width="9.88"/>
    <col customWidth="1" min="9" max="9" width="11.88"/>
    <col customWidth="1" min="10" max="10" width="14.0"/>
    <col customWidth="1" hidden="1" min="11" max="11" width="8.13"/>
    <col customWidth="1" min="12" max="12" width="16.13"/>
    <col customWidth="1" min="13" max="13" width="13.63"/>
    <col customWidth="1" hidden="1" min="14" max="14" width="6.88"/>
    <col customWidth="1" min="15" max="15" width="25.38"/>
    <col customWidth="1" min="16" max="26" width="9.13"/>
  </cols>
  <sheetData>
    <row r="1" ht="12.75" customHeight="1">
      <c r="A1" s="18" t="s">
        <v>127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 ht="12.75" customHeight="1">
      <c r="A2" s="19" t="s">
        <v>28</v>
      </c>
      <c r="B2" s="19"/>
      <c r="C2" s="19"/>
      <c r="D2" s="19"/>
      <c r="E2" s="19"/>
      <c r="F2" s="20"/>
      <c r="K2" s="19"/>
      <c r="L2" s="19"/>
    </row>
    <row r="3" ht="12.75" customHeight="1">
      <c r="A3" s="19" t="s">
        <v>29</v>
      </c>
      <c r="B3" s="19"/>
      <c r="K3" s="19"/>
      <c r="L3" s="19"/>
    </row>
    <row r="4" ht="12.75" customHeight="1">
      <c r="A4" s="21" t="s">
        <v>30</v>
      </c>
      <c r="B4" s="21" t="s">
        <v>3</v>
      </c>
      <c r="C4" s="21" t="s">
        <v>4</v>
      </c>
      <c r="D4" s="21" t="s">
        <v>5</v>
      </c>
      <c r="E4" s="22">
        <v>1.0</v>
      </c>
      <c r="F4" s="22">
        <v>2.0</v>
      </c>
      <c r="G4" s="22">
        <v>3.0</v>
      </c>
      <c r="H4" s="22">
        <v>4.0</v>
      </c>
      <c r="I4" s="22">
        <v>5.0</v>
      </c>
      <c r="J4" s="22" t="s">
        <v>31</v>
      </c>
      <c r="K4" s="23" t="s">
        <v>32</v>
      </c>
      <c r="L4" s="22" t="s">
        <v>33</v>
      </c>
      <c r="M4" s="22" t="s">
        <v>34</v>
      </c>
      <c r="N4" s="18" t="s">
        <v>32</v>
      </c>
      <c r="O4" s="24" t="s">
        <v>35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 ht="12.75" customHeight="1">
      <c r="A5" s="80">
        <v>1.0</v>
      </c>
      <c r="B5" s="27" t="s">
        <v>140</v>
      </c>
      <c r="C5" s="28"/>
      <c r="D5" s="28"/>
      <c r="E5" s="29">
        <v>14.56</v>
      </c>
      <c r="F5" s="29">
        <v>15.78</v>
      </c>
      <c r="G5" s="29">
        <v>15.41</v>
      </c>
      <c r="H5" s="29">
        <v>15.72</v>
      </c>
      <c r="I5" s="29">
        <v>14.52</v>
      </c>
      <c r="J5" s="30">
        <f t="shared" ref="J5:J27" si="1">IF(MIN(E5:I5)&gt;0,MIN(E5:I5),IF(COUNTBLANK(E5:I5)=5,"","DNF"))</f>
        <v>14.52</v>
      </c>
      <c r="K5" s="30"/>
      <c r="L5" s="30">
        <f t="shared" ref="L5:L44" si="2">IF(COUNTBLANK(E5:I5)&gt;0,"",IF(COUNTIF(E5:I5,"DNF")+COUNTIF(E5:I5,"DNS")&gt;0,"DNF",MAX(E5:I5)))</f>
        <v>15.78</v>
      </c>
      <c r="M5" s="30">
        <f t="shared" ref="M5:M28" si="3">IF(COUNTBLANK(E5:I5)&gt;0,"",IF(COUNTIF(E5:I5,"DNF")+COUNTIF(E5:I5,"DNS")&gt;1,"DNF",ROUND(IF(COUNTIF(E5:I5,"DNF")+COUNTIF(E5:I5,"DNS")&gt;0,(SUM(E5:I5)-J5)/3,(SUM(E5:I5)-J5-L5)/3),2)))</f>
        <v>15.23</v>
      </c>
      <c r="N5" s="25"/>
      <c r="O5" s="31">
        <f t="shared" ref="O5:O44" si="4">M5/86400</f>
        <v>0.0001762731481</v>
      </c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</row>
    <row r="6" ht="12.75" customHeight="1">
      <c r="A6" s="80">
        <v>2.0</v>
      </c>
      <c r="B6" s="27" t="s">
        <v>55</v>
      </c>
      <c r="C6" s="33"/>
      <c r="D6" s="33"/>
      <c r="E6" s="29">
        <v>17.3</v>
      </c>
      <c r="F6" s="29">
        <v>17.23</v>
      </c>
      <c r="G6" s="29">
        <v>15.72</v>
      </c>
      <c r="H6" s="29">
        <v>16.39</v>
      </c>
      <c r="I6" s="29">
        <v>18.64</v>
      </c>
      <c r="J6" s="30">
        <f t="shared" si="1"/>
        <v>15.72</v>
      </c>
      <c r="K6" s="30"/>
      <c r="L6" s="30">
        <f t="shared" si="2"/>
        <v>18.64</v>
      </c>
      <c r="M6" s="30">
        <f t="shared" si="3"/>
        <v>16.97</v>
      </c>
      <c r="N6" s="25"/>
      <c r="O6" s="31">
        <f t="shared" si="4"/>
        <v>0.000196412037</v>
      </c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</row>
    <row r="7" ht="12.75" customHeight="1">
      <c r="A7" s="80">
        <v>3.0</v>
      </c>
      <c r="B7" s="27" t="s">
        <v>74</v>
      </c>
      <c r="C7" s="28"/>
      <c r="D7" s="28"/>
      <c r="E7" s="29">
        <v>16.6</v>
      </c>
      <c r="F7" s="29">
        <v>18.22</v>
      </c>
      <c r="G7" s="29">
        <v>16.6</v>
      </c>
      <c r="H7" s="29">
        <v>15.98</v>
      </c>
      <c r="I7" s="29">
        <v>19.4</v>
      </c>
      <c r="J7" s="30">
        <f t="shared" si="1"/>
        <v>15.98</v>
      </c>
      <c r="K7" s="30"/>
      <c r="L7" s="30">
        <f t="shared" si="2"/>
        <v>19.4</v>
      </c>
      <c r="M7" s="30">
        <f t="shared" si="3"/>
        <v>17.14</v>
      </c>
      <c r="N7" s="25"/>
      <c r="O7" s="31">
        <f t="shared" si="4"/>
        <v>0.0001983796296</v>
      </c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</row>
    <row r="8" ht="12.75" customHeight="1">
      <c r="A8" s="80">
        <v>4.0</v>
      </c>
      <c r="B8" s="27" t="s">
        <v>52</v>
      </c>
      <c r="C8" s="28"/>
      <c r="D8" s="28"/>
      <c r="E8" s="29">
        <v>15.94</v>
      </c>
      <c r="F8" s="29">
        <v>23.0</v>
      </c>
      <c r="G8" s="29">
        <v>19.02</v>
      </c>
      <c r="H8" s="29">
        <v>18.09</v>
      </c>
      <c r="I8" s="29">
        <v>16.1</v>
      </c>
      <c r="J8" s="30">
        <f t="shared" si="1"/>
        <v>15.94</v>
      </c>
      <c r="K8" s="30"/>
      <c r="L8" s="30">
        <f t="shared" si="2"/>
        <v>23</v>
      </c>
      <c r="M8" s="30">
        <f t="shared" si="3"/>
        <v>17.74</v>
      </c>
      <c r="N8" s="25"/>
      <c r="O8" s="31">
        <f t="shared" si="4"/>
        <v>0.0002053240741</v>
      </c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</row>
    <row r="9" ht="12.75" customHeight="1">
      <c r="A9" s="80">
        <v>5.0</v>
      </c>
      <c r="B9" s="27" t="s">
        <v>141</v>
      </c>
      <c r="C9" s="28"/>
      <c r="D9" s="28"/>
      <c r="E9" s="81">
        <v>20.77</v>
      </c>
      <c r="F9" s="29">
        <v>17.12</v>
      </c>
      <c r="G9" s="29">
        <v>28.59</v>
      </c>
      <c r="H9" s="29">
        <v>16.69</v>
      </c>
      <c r="I9" s="29">
        <v>18.63</v>
      </c>
      <c r="J9" s="30">
        <f t="shared" si="1"/>
        <v>16.69</v>
      </c>
      <c r="K9" s="30"/>
      <c r="L9" s="30">
        <f t="shared" si="2"/>
        <v>28.59</v>
      </c>
      <c r="M9" s="30">
        <f t="shared" si="3"/>
        <v>18.84</v>
      </c>
      <c r="N9" s="25"/>
      <c r="O9" s="31">
        <f t="shared" si="4"/>
        <v>0.0002180555556</v>
      </c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 ht="12.75" customHeight="1">
      <c r="A10" s="80">
        <v>6.0</v>
      </c>
      <c r="B10" s="27" t="s">
        <v>51</v>
      </c>
      <c r="C10" s="28"/>
      <c r="D10" s="28"/>
      <c r="E10" s="29">
        <v>20.61</v>
      </c>
      <c r="F10" s="29">
        <v>27.48</v>
      </c>
      <c r="G10" s="29">
        <v>19.6</v>
      </c>
      <c r="H10" s="29">
        <v>21.26</v>
      </c>
      <c r="I10" s="29">
        <v>21.47</v>
      </c>
      <c r="J10" s="30">
        <f t="shared" si="1"/>
        <v>19.6</v>
      </c>
      <c r="K10" s="30"/>
      <c r="L10" s="30">
        <f t="shared" si="2"/>
        <v>27.48</v>
      </c>
      <c r="M10" s="30">
        <f t="shared" si="3"/>
        <v>21.11</v>
      </c>
      <c r="N10" s="25"/>
      <c r="O10" s="31">
        <f t="shared" si="4"/>
        <v>0.0002443287037</v>
      </c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 ht="12.75" customHeight="1">
      <c r="A11" s="80">
        <v>7.0</v>
      </c>
      <c r="B11" s="27" t="s">
        <v>142</v>
      </c>
      <c r="C11" s="28"/>
      <c r="D11" s="28"/>
      <c r="E11" s="29">
        <v>17.27</v>
      </c>
      <c r="F11" s="29">
        <v>21.37</v>
      </c>
      <c r="G11" s="29">
        <v>21.93</v>
      </c>
      <c r="H11" s="29">
        <v>20.09</v>
      </c>
      <c r="I11" s="29">
        <v>22.19</v>
      </c>
      <c r="J11" s="30">
        <f t="shared" si="1"/>
        <v>17.27</v>
      </c>
      <c r="K11" s="30"/>
      <c r="L11" s="30">
        <f t="shared" si="2"/>
        <v>22.19</v>
      </c>
      <c r="M11" s="30">
        <f t="shared" si="3"/>
        <v>21.13</v>
      </c>
      <c r="N11" s="25"/>
      <c r="O11" s="31">
        <f t="shared" si="4"/>
        <v>0.0002445601852</v>
      </c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 ht="12.75" customHeight="1">
      <c r="A12" s="80">
        <v>8.0</v>
      </c>
      <c r="B12" s="27" t="s">
        <v>143</v>
      </c>
      <c r="C12" s="28"/>
      <c r="D12" s="28"/>
      <c r="E12" s="29">
        <v>22.58</v>
      </c>
      <c r="F12" s="29">
        <v>23.34</v>
      </c>
      <c r="G12" s="29">
        <v>20.55</v>
      </c>
      <c r="H12" s="29">
        <v>20.8</v>
      </c>
      <c r="I12" s="29">
        <v>20.11</v>
      </c>
      <c r="J12" s="30">
        <f t="shared" si="1"/>
        <v>20.11</v>
      </c>
      <c r="K12" s="30"/>
      <c r="L12" s="30">
        <f t="shared" si="2"/>
        <v>23.34</v>
      </c>
      <c r="M12" s="30">
        <f t="shared" si="3"/>
        <v>21.31</v>
      </c>
      <c r="N12" s="25"/>
      <c r="O12" s="31">
        <f t="shared" si="4"/>
        <v>0.0002466435185</v>
      </c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 ht="12.75" customHeight="1">
      <c r="A13" s="80">
        <v>9.0</v>
      </c>
      <c r="B13" s="27" t="s">
        <v>62</v>
      </c>
      <c r="C13" s="28"/>
      <c r="D13" s="28"/>
      <c r="E13" s="29" t="s">
        <v>49</v>
      </c>
      <c r="F13" s="29">
        <v>19.96</v>
      </c>
      <c r="G13" s="29">
        <v>20.9</v>
      </c>
      <c r="H13" s="29">
        <v>29.52</v>
      </c>
      <c r="I13" s="29">
        <v>25.03</v>
      </c>
      <c r="J13" s="30">
        <f t="shared" si="1"/>
        <v>19.96</v>
      </c>
      <c r="K13" s="30"/>
      <c r="L13" s="30" t="str">
        <f t="shared" si="2"/>
        <v>DNF</v>
      </c>
      <c r="M13" s="30">
        <f t="shared" si="3"/>
        <v>25.15</v>
      </c>
      <c r="N13" s="25"/>
      <c r="O13" s="31">
        <f t="shared" si="4"/>
        <v>0.000291087963</v>
      </c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 ht="12.75" customHeight="1">
      <c r="A14" s="80">
        <v>10.0</v>
      </c>
      <c r="B14" s="27"/>
      <c r="C14" s="28"/>
      <c r="D14" s="28"/>
      <c r="E14" s="29"/>
      <c r="F14" s="29"/>
      <c r="G14" s="29"/>
      <c r="H14" s="29"/>
      <c r="I14" s="29"/>
      <c r="J14" s="30" t="str">
        <f t="shared" si="1"/>
        <v/>
      </c>
      <c r="K14" s="30"/>
      <c r="L14" s="30" t="str">
        <f t="shared" si="2"/>
        <v/>
      </c>
      <c r="M14" s="30" t="str">
        <f t="shared" si="3"/>
        <v/>
      </c>
      <c r="N14" s="25"/>
      <c r="O14" s="31">
        <f t="shared" si="4"/>
        <v>0</v>
      </c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ht="12.75" customHeight="1">
      <c r="A15" s="80">
        <v>11.0</v>
      </c>
      <c r="B15" s="27"/>
      <c r="C15" s="33"/>
      <c r="D15" s="33"/>
      <c r="E15" s="29"/>
      <c r="F15" s="29"/>
      <c r="G15" s="29"/>
      <c r="H15" s="29"/>
      <c r="I15" s="29"/>
      <c r="J15" s="30" t="str">
        <f t="shared" si="1"/>
        <v/>
      </c>
      <c r="K15" s="30"/>
      <c r="L15" s="30" t="str">
        <f t="shared" si="2"/>
        <v/>
      </c>
      <c r="M15" s="30" t="str">
        <f t="shared" si="3"/>
        <v/>
      </c>
      <c r="N15" s="25"/>
      <c r="O15" s="31">
        <f t="shared" si="4"/>
        <v>0</v>
      </c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ht="12.75" customHeight="1">
      <c r="A16" s="80">
        <v>12.0</v>
      </c>
      <c r="B16" s="27"/>
      <c r="C16" s="33"/>
      <c r="D16" s="33"/>
      <c r="E16" s="29"/>
      <c r="F16" s="29"/>
      <c r="G16" s="29"/>
      <c r="H16" s="29"/>
      <c r="I16" s="29"/>
      <c r="J16" s="30" t="str">
        <f t="shared" si="1"/>
        <v/>
      </c>
      <c r="K16" s="30"/>
      <c r="L16" s="30" t="str">
        <f t="shared" si="2"/>
        <v/>
      </c>
      <c r="M16" s="30" t="str">
        <f t="shared" si="3"/>
        <v/>
      </c>
      <c r="N16" s="25"/>
      <c r="O16" s="31">
        <f t="shared" si="4"/>
        <v>0</v>
      </c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 ht="12.75" customHeight="1">
      <c r="A17" s="80">
        <v>13.0</v>
      </c>
      <c r="B17" s="27"/>
      <c r="C17" s="41"/>
      <c r="D17" s="41"/>
      <c r="E17" s="29"/>
      <c r="F17" s="29"/>
      <c r="G17" s="29"/>
      <c r="H17" s="29"/>
      <c r="I17" s="29"/>
      <c r="J17" s="30" t="str">
        <f t="shared" si="1"/>
        <v/>
      </c>
      <c r="K17" s="30"/>
      <c r="L17" s="30" t="str">
        <f t="shared" si="2"/>
        <v/>
      </c>
      <c r="M17" s="30" t="str">
        <f t="shared" si="3"/>
        <v/>
      </c>
      <c r="N17" s="25"/>
      <c r="O17" s="31">
        <f t="shared" si="4"/>
        <v>0</v>
      </c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 ht="12.75" customHeight="1">
      <c r="A18" s="80">
        <v>14.0</v>
      </c>
      <c r="B18" s="27"/>
      <c r="C18" s="28"/>
      <c r="D18" s="28"/>
      <c r="E18" s="29"/>
      <c r="F18" s="29"/>
      <c r="G18" s="29"/>
      <c r="H18" s="29"/>
      <c r="I18" s="29"/>
      <c r="J18" s="30" t="str">
        <f t="shared" si="1"/>
        <v/>
      </c>
      <c r="K18" s="30"/>
      <c r="L18" s="30" t="str">
        <f t="shared" si="2"/>
        <v/>
      </c>
      <c r="M18" s="30" t="str">
        <f t="shared" si="3"/>
        <v/>
      </c>
      <c r="N18" s="25"/>
      <c r="O18" s="31">
        <f t="shared" si="4"/>
        <v>0</v>
      </c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 ht="12.75" customHeight="1">
      <c r="A19" s="80">
        <v>15.0</v>
      </c>
      <c r="B19" s="27"/>
      <c r="C19" s="33"/>
      <c r="D19" s="33"/>
      <c r="E19" s="29"/>
      <c r="F19" s="29"/>
      <c r="G19" s="29"/>
      <c r="H19" s="29"/>
      <c r="I19" s="29"/>
      <c r="J19" s="30" t="str">
        <f t="shared" si="1"/>
        <v/>
      </c>
      <c r="K19" s="30"/>
      <c r="L19" s="30" t="str">
        <f t="shared" si="2"/>
        <v/>
      </c>
      <c r="M19" s="30" t="str">
        <f t="shared" si="3"/>
        <v/>
      </c>
      <c r="N19" s="25"/>
      <c r="O19" s="31">
        <f t="shared" si="4"/>
        <v>0</v>
      </c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 ht="12.75" customHeight="1">
      <c r="A20" s="55">
        <v>16.0</v>
      </c>
      <c r="B20" s="27"/>
      <c r="C20" s="28"/>
      <c r="D20" s="28"/>
      <c r="E20" s="29"/>
      <c r="F20" s="30"/>
      <c r="G20" s="30"/>
      <c r="H20" s="30"/>
      <c r="I20" s="30"/>
      <c r="J20" s="30" t="str">
        <f t="shared" si="1"/>
        <v/>
      </c>
      <c r="K20" s="30"/>
      <c r="L20" s="30" t="str">
        <f t="shared" si="2"/>
        <v/>
      </c>
      <c r="M20" s="30" t="str">
        <f t="shared" si="3"/>
        <v/>
      </c>
      <c r="N20" s="25"/>
      <c r="O20" s="31">
        <f t="shared" si="4"/>
        <v>0</v>
      </c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 ht="12.75" customHeight="1">
      <c r="A21" s="55">
        <v>17.0</v>
      </c>
      <c r="B21" s="36"/>
      <c r="C21" s="28"/>
      <c r="D21" s="28"/>
      <c r="E21" s="30"/>
      <c r="F21" s="30"/>
      <c r="G21" s="30"/>
      <c r="H21" s="30"/>
      <c r="I21" s="30"/>
      <c r="J21" s="30" t="str">
        <f t="shared" si="1"/>
        <v/>
      </c>
      <c r="K21" s="30"/>
      <c r="L21" s="30" t="str">
        <f t="shared" si="2"/>
        <v/>
      </c>
      <c r="M21" s="30" t="str">
        <f t="shared" si="3"/>
        <v/>
      </c>
      <c r="N21" s="25"/>
      <c r="O21" s="31">
        <f t="shared" si="4"/>
        <v>0</v>
      </c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 ht="12.75" customHeight="1">
      <c r="A22" s="55">
        <v>18.0</v>
      </c>
      <c r="B22" s="36"/>
      <c r="C22" s="33"/>
      <c r="D22" s="33"/>
      <c r="E22" s="35"/>
      <c r="F22" s="35"/>
      <c r="G22" s="35"/>
      <c r="H22" s="35"/>
      <c r="I22" s="35"/>
      <c r="J22" s="35" t="str">
        <f t="shared" si="1"/>
        <v/>
      </c>
      <c r="K22" s="35"/>
      <c r="L22" s="35" t="str">
        <f t="shared" si="2"/>
        <v/>
      </c>
      <c r="M22" s="35" t="str">
        <f t="shared" si="3"/>
        <v/>
      </c>
      <c r="N22" s="25"/>
      <c r="O22" s="31">
        <f t="shared" si="4"/>
        <v>0</v>
      </c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 ht="12.75" customHeight="1">
      <c r="A23" s="55">
        <v>19.0</v>
      </c>
      <c r="B23" s="36"/>
      <c r="C23" s="28"/>
      <c r="D23" s="28"/>
      <c r="E23" s="30"/>
      <c r="F23" s="30"/>
      <c r="G23" s="30"/>
      <c r="H23" s="30"/>
      <c r="I23" s="30"/>
      <c r="J23" s="30" t="str">
        <f t="shared" si="1"/>
        <v/>
      </c>
      <c r="K23" s="30"/>
      <c r="L23" s="30" t="str">
        <f t="shared" si="2"/>
        <v/>
      </c>
      <c r="M23" s="30" t="str">
        <f t="shared" si="3"/>
        <v/>
      </c>
      <c r="N23" s="25"/>
      <c r="O23" s="31">
        <f t="shared" si="4"/>
        <v>0</v>
      </c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 ht="12.75" customHeight="1">
      <c r="A24" s="55">
        <v>20.0</v>
      </c>
      <c r="B24" s="36"/>
      <c r="C24" s="28"/>
      <c r="D24" s="28"/>
      <c r="E24" s="30"/>
      <c r="F24" s="30"/>
      <c r="G24" s="30"/>
      <c r="H24" s="30"/>
      <c r="I24" s="30"/>
      <c r="J24" s="30" t="str">
        <f t="shared" si="1"/>
        <v/>
      </c>
      <c r="K24" s="30"/>
      <c r="L24" s="30" t="str">
        <f t="shared" si="2"/>
        <v/>
      </c>
      <c r="M24" s="30" t="str">
        <f t="shared" si="3"/>
        <v/>
      </c>
      <c r="N24" s="25"/>
      <c r="O24" s="31">
        <f t="shared" si="4"/>
        <v>0</v>
      </c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 ht="12.75" customHeight="1">
      <c r="A25" s="55">
        <v>21.0</v>
      </c>
      <c r="B25" s="36"/>
      <c r="C25" s="28"/>
      <c r="D25" s="28"/>
      <c r="E25" s="30"/>
      <c r="F25" s="30"/>
      <c r="G25" s="30"/>
      <c r="H25" s="30"/>
      <c r="I25" s="30"/>
      <c r="J25" s="30" t="str">
        <f t="shared" si="1"/>
        <v/>
      </c>
      <c r="K25" s="30"/>
      <c r="L25" s="30" t="str">
        <f t="shared" si="2"/>
        <v/>
      </c>
      <c r="M25" s="30" t="str">
        <f t="shared" si="3"/>
        <v/>
      </c>
      <c r="N25" s="25"/>
      <c r="O25" s="31">
        <f t="shared" si="4"/>
        <v>0</v>
      </c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 ht="12.75" customHeight="1">
      <c r="A26" s="55">
        <v>22.0</v>
      </c>
      <c r="B26" s="36"/>
      <c r="C26" s="28"/>
      <c r="D26" s="28"/>
      <c r="E26" s="30"/>
      <c r="F26" s="30"/>
      <c r="G26" s="30"/>
      <c r="H26" s="30"/>
      <c r="I26" s="30"/>
      <c r="J26" s="30" t="str">
        <f t="shared" si="1"/>
        <v/>
      </c>
      <c r="K26" s="30"/>
      <c r="L26" s="30" t="str">
        <f t="shared" si="2"/>
        <v/>
      </c>
      <c r="M26" s="30" t="str">
        <f t="shared" si="3"/>
        <v/>
      </c>
      <c r="N26" s="25"/>
      <c r="O26" s="31">
        <f t="shared" si="4"/>
        <v>0</v>
      </c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 ht="12.75" customHeight="1">
      <c r="A27" s="55">
        <v>23.0</v>
      </c>
      <c r="B27" s="36"/>
      <c r="C27" s="28"/>
      <c r="D27" s="28"/>
      <c r="E27" s="30"/>
      <c r="F27" s="30"/>
      <c r="G27" s="30"/>
      <c r="H27" s="30"/>
      <c r="I27" s="30"/>
      <c r="J27" s="30" t="str">
        <f t="shared" si="1"/>
        <v/>
      </c>
      <c r="K27" s="30"/>
      <c r="L27" s="30" t="str">
        <f t="shared" si="2"/>
        <v/>
      </c>
      <c r="M27" s="30" t="str">
        <f t="shared" si="3"/>
        <v/>
      </c>
      <c r="N27" s="25"/>
      <c r="O27" s="31">
        <f t="shared" si="4"/>
        <v>0</v>
      </c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 ht="12.75" customHeight="1">
      <c r="A28" s="55">
        <v>24.0</v>
      </c>
      <c r="B28" s="36"/>
      <c r="C28" s="28"/>
      <c r="D28" s="28"/>
      <c r="E28" s="30"/>
      <c r="F28" s="30"/>
      <c r="G28" s="30"/>
      <c r="H28" s="30"/>
      <c r="I28" s="30"/>
      <c r="J28" s="30">
        <v>54.39</v>
      </c>
      <c r="K28" s="30"/>
      <c r="L28" s="30" t="str">
        <f t="shared" si="2"/>
        <v/>
      </c>
      <c r="M28" s="30" t="str">
        <f t="shared" si="3"/>
        <v/>
      </c>
      <c r="N28" s="25"/>
      <c r="O28" s="31">
        <f t="shared" si="4"/>
        <v>0</v>
      </c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ht="12.75" customHeight="1">
      <c r="A29" s="55">
        <v>25.0</v>
      </c>
      <c r="B29" s="36"/>
      <c r="C29" s="28"/>
      <c r="D29" s="28"/>
      <c r="E29" s="30"/>
      <c r="F29" s="30"/>
      <c r="G29" s="30"/>
      <c r="H29" s="30"/>
      <c r="I29" s="30"/>
      <c r="J29" s="30" t="str">
        <f t="shared" ref="J29:J44" si="5">IF(MIN(E29:I29)&gt;0,MIN(E29:I29),IF(COUNTBLANK(E29:I29)=5,"","DNF"))</f>
        <v/>
      </c>
      <c r="K29" s="30"/>
      <c r="L29" s="30" t="str">
        <f t="shared" si="2"/>
        <v/>
      </c>
      <c r="M29" s="30" t="str">
        <f>IF(COUNTBLANK(E29:I29)&gt;0,"",IF(COUNTIF(E29:I29,"DNF")+COUNTIF(E29:I29,"DNS")&gt;1,"DNF",IF(COUNTIF(E29:I29,"DNF")+COUNTIF(E29:I29,"DNS")&gt;0,(SUM(E29:I29)-J29)/3,(SUM(E29:I29)-J29-L29)/3)))</f>
        <v/>
      </c>
      <c r="N29" s="25"/>
      <c r="O29" s="31">
        <f t="shared" si="4"/>
        <v>0</v>
      </c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 ht="12.75" customHeight="1">
      <c r="A30" s="55">
        <v>26.0</v>
      </c>
      <c r="B30" s="36"/>
      <c r="C30" s="28"/>
      <c r="D30" s="28"/>
      <c r="E30" s="30"/>
      <c r="F30" s="30"/>
      <c r="G30" s="30"/>
      <c r="H30" s="30"/>
      <c r="I30" s="30"/>
      <c r="J30" s="30" t="str">
        <f t="shared" si="5"/>
        <v/>
      </c>
      <c r="K30" s="30"/>
      <c r="L30" s="30" t="str">
        <f t="shared" si="2"/>
        <v/>
      </c>
      <c r="M30" s="30" t="str">
        <f t="shared" ref="M30:M42" si="6">IF(COUNTBLANK(E30:I30)&gt;0,"",IF(COUNTIF(E30:I30,"DNF")+COUNTIF(E30:I30,"DNS")&gt;1,"DNF",ROUND(IF(COUNTIF(E30:I30,"DNF")+COUNTIF(E30:I30,"DNS")&gt;0,(SUM(E30:I30)-J30)/3,(SUM(E30:I30)-J30-L30)/3),2)))</f>
        <v/>
      </c>
      <c r="N30" s="25"/>
      <c r="O30" s="31">
        <f t="shared" si="4"/>
        <v>0</v>
      </c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 ht="12.75" customHeight="1">
      <c r="A31" s="55">
        <v>27.0</v>
      </c>
      <c r="B31" s="36"/>
      <c r="C31" s="28"/>
      <c r="D31" s="28"/>
      <c r="E31" s="30"/>
      <c r="F31" s="30"/>
      <c r="G31" s="30"/>
      <c r="H31" s="30"/>
      <c r="I31" s="30"/>
      <c r="J31" s="30" t="str">
        <f t="shared" si="5"/>
        <v/>
      </c>
      <c r="K31" s="30"/>
      <c r="L31" s="30" t="str">
        <f t="shared" si="2"/>
        <v/>
      </c>
      <c r="M31" s="30" t="str">
        <f t="shared" si="6"/>
        <v/>
      </c>
      <c r="N31" s="25"/>
      <c r="O31" s="31">
        <f t="shared" si="4"/>
        <v>0</v>
      </c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 ht="12.75" customHeight="1">
      <c r="A32" s="55">
        <v>28.0</v>
      </c>
      <c r="B32" s="36"/>
      <c r="C32" s="28"/>
      <c r="D32" s="28"/>
      <c r="E32" s="30"/>
      <c r="F32" s="30"/>
      <c r="G32" s="30"/>
      <c r="H32" s="30"/>
      <c r="I32" s="30"/>
      <c r="J32" s="30" t="str">
        <f t="shared" si="5"/>
        <v/>
      </c>
      <c r="K32" s="30"/>
      <c r="L32" s="30" t="str">
        <f t="shared" si="2"/>
        <v/>
      </c>
      <c r="M32" s="30" t="str">
        <f t="shared" si="6"/>
        <v/>
      </c>
      <c r="N32" s="25"/>
      <c r="O32" s="31">
        <f t="shared" si="4"/>
        <v>0</v>
      </c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 ht="12.75" customHeight="1">
      <c r="A33" s="55">
        <v>29.0</v>
      </c>
      <c r="B33" s="36"/>
      <c r="C33" s="28"/>
      <c r="D33" s="28"/>
      <c r="E33" s="30"/>
      <c r="F33" s="30"/>
      <c r="G33" s="30"/>
      <c r="H33" s="30"/>
      <c r="I33" s="30"/>
      <c r="J33" s="30" t="str">
        <f t="shared" si="5"/>
        <v/>
      </c>
      <c r="K33" s="30"/>
      <c r="L33" s="30" t="str">
        <f t="shared" si="2"/>
        <v/>
      </c>
      <c r="M33" s="30" t="str">
        <f t="shared" si="6"/>
        <v/>
      </c>
      <c r="N33" s="25"/>
      <c r="O33" s="31">
        <f t="shared" si="4"/>
        <v>0</v>
      </c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ht="12.75" customHeight="1">
      <c r="A34" s="55">
        <v>30.0</v>
      </c>
      <c r="B34" s="36"/>
      <c r="C34" s="28"/>
      <c r="D34" s="28"/>
      <c r="E34" s="30"/>
      <c r="F34" s="30"/>
      <c r="G34" s="30"/>
      <c r="H34" s="30"/>
      <c r="I34" s="30"/>
      <c r="J34" s="30" t="str">
        <f t="shared" si="5"/>
        <v/>
      </c>
      <c r="K34" s="30"/>
      <c r="L34" s="30" t="str">
        <f t="shared" si="2"/>
        <v/>
      </c>
      <c r="M34" s="30" t="str">
        <f t="shared" si="6"/>
        <v/>
      </c>
      <c r="N34" s="25"/>
      <c r="O34" s="31">
        <f t="shared" si="4"/>
        <v>0</v>
      </c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 ht="12.75" customHeight="1">
      <c r="A35" s="55">
        <v>31.0</v>
      </c>
      <c r="B35" s="36"/>
      <c r="C35" s="28"/>
      <c r="D35" s="28"/>
      <c r="E35" s="30"/>
      <c r="F35" s="30"/>
      <c r="G35" s="30"/>
      <c r="H35" s="30"/>
      <c r="I35" s="30"/>
      <c r="J35" s="30" t="str">
        <f t="shared" si="5"/>
        <v/>
      </c>
      <c r="K35" s="30"/>
      <c r="L35" s="30" t="str">
        <f t="shared" si="2"/>
        <v/>
      </c>
      <c r="M35" s="30" t="str">
        <f t="shared" si="6"/>
        <v/>
      </c>
      <c r="N35" s="25"/>
      <c r="O35" s="31">
        <f t="shared" si="4"/>
        <v>0</v>
      </c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 ht="12.75" customHeight="1">
      <c r="A36" s="55">
        <v>32.0</v>
      </c>
      <c r="B36" s="36"/>
      <c r="C36" s="28"/>
      <c r="D36" s="28"/>
      <c r="E36" s="30"/>
      <c r="F36" s="30"/>
      <c r="G36" s="30"/>
      <c r="H36" s="30"/>
      <c r="I36" s="30"/>
      <c r="J36" s="30" t="str">
        <f t="shared" si="5"/>
        <v/>
      </c>
      <c r="K36" s="30"/>
      <c r="L36" s="30" t="str">
        <f t="shared" si="2"/>
        <v/>
      </c>
      <c r="M36" s="30" t="str">
        <f t="shared" si="6"/>
        <v/>
      </c>
      <c r="N36" s="25"/>
      <c r="O36" s="31">
        <f t="shared" si="4"/>
        <v>0</v>
      </c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 ht="12.75" customHeight="1">
      <c r="A37" s="55">
        <v>33.0</v>
      </c>
      <c r="B37" s="36"/>
      <c r="C37" s="28"/>
      <c r="D37" s="28"/>
      <c r="E37" s="30"/>
      <c r="F37" s="30"/>
      <c r="G37" s="30"/>
      <c r="H37" s="30"/>
      <c r="I37" s="30"/>
      <c r="J37" s="30" t="str">
        <f t="shared" si="5"/>
        <v/>
      </c>
      <c r="K37" s="30"/>
      <c r="L37" s="30" t="str">
        <f t="shared" si="2"/>
        <v/>
      </c>
      <c r="M37" s="30" t="str">
        <f t="shared" si="6"/>
        <v/>
      </c>
      <c r="N37" s="25"/>
      <c r="O37" s="31">
        <f t="shared" si="4"/>
        <v>0</v>
      </c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ht="12.75" customHeight="1">
      <c r="A38" s="55">
        <v>34.0</v>
      </c>
      <c r="B38" s="36"/>
      <c r="C38" s="28"/>
      <c r="D38" s="28"/>
      <c r="E38" s="30"/>
      <c r="F38" s="30"/>
      <c r="G38" s="30"/>
      <c r="H38" s="30"/>
      <c r="I38" s="30"/>
      <c r="J38" s="30" t="str">
        <f t="shared" si="5"/>
        <v/>
      </c>
      <c r="K38" s="30"/>
      <c r="L38" s="30" t="str">
        <f t="shared" si="2"/>
        <v/>
      </c>
      <c r="M38" s="30" t="str">
        <f t="shared" si="6"/>
        <v/>
      </c>
      <c r="N38" s="25"/>
      <c r="O38" s="31">
        <f t="shared" si="4"/>
        <v>0</v>
      </c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 ht="12.75" customHeight="1">
      <c r="A39" s="55">
        <v>35.0</v>
      </c>
      <c r="B39" s="36"/>
      <c r="C39" s="28"/>
      <c r="D39" s="28"/>
      <c r="E39" s="30"/>
      <c r="F39" s="30"/>
      <c r="G39" s="30"/>
      <c r="H39" s="30"/>
      <c r="I39" s="30"/>
      <c r="J39" s="30" t="str">
        <f t="shared" si="5"/>
        <v/>
      </c>
      <c r="K39" s="30"/>
      <c r="L39" s="30" t="str">
        <f t="shared" si="2"/>
        <v/>
      </c>
      <c r="M39" s="30" t="str">
        <f t="shared" si="6"/>
        <v/>
      </c>
      <c r="N39" s="25"/>
      <c r="O39" s="31">
        <f t="shared" si="4"/>
        <v>0</v>
      </c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 ht="12.75" customHeight="1">
      <c r="A40" s="55">
        <v>36.0</v>
      </c>
      <c r="B40" s="36"/>
      <c r="C40" s="28"/>
      <c r="D40" s="28"/>
      <c r="E40" s="30"/>
      <c r="F40" s="30"/>
      <c r="G40" s="30"/>
      <c r="H40" s="30"/>
      <c r="I40" s="30"/>
      <c r="J40" s="30" t="str">
        <f t="shared" si="5"/>
        <v/>
      </c>
      <c r="K40" s="30"/>
      <c r="L40" s="30" t="str">
        <f t="shared" si="2"/>
        <v/>
      </c>
      <c r="M40" s="30" t="str">
        <f t="shared" si="6"/>
        <v/>
      </c>
      <c r="N40" s="25"/>
      <c r="O40" s="31">
        <f t="shared" si="4"/>
        <v>0</v>
      </c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 ht="12.75" customHeight="1">
      <c r="A41" s="55">
        <v>37.0</v>
      </c>
      <c r="B41" s="36"/>
      <c r="C41" s="28"/>
      <c r="D41" s="28"/>
      <c r="E41" s="30"/>
      <c r="F41" s="30"/>
      <c r="G41" s="30"/>
      <c r="H41" s="30"/>
      <c r="I41" s="30"/>
      <c r="J41" s="30" t="str">
        <f t="shared" si="5"/>
        <v/>
      </c>
      <c r="K41" s="30"/>
      <c r="L41" s="30" t="str">
        <f t="shared" si="2"/>
        <v/>
      </c>
      <c r="M41" s="30" t="str">
        <f t="shared" si="6"/>
        <v/>
      </c>
      <c r="N41" s="25"/>
      <c r="O41" s="31">
        <f t="shared" si="4"/>
        <v>0</v>
      </c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 ht="12.75" customHeight="1">
      <c r="A42" s="55">
        <f>IF(AND(M41=M42,J41=J42),A41,ROW()-4)</f>
        <v>37</v>
      </c>
      <c r="B42" s="36"/>
      <c r="C42" s="28"/>
      <c r="D42" s="28"/>
      <c r="E42" s="30"/>
      <c r="F42" s="30"/>
      <c r="G42" s="30"/>
      <c r="H42" s="30"/>
      <c r="I42" s="30"/>
      <c r="J42" s="30" t="str">
        <f t="shared" si="5"/>
        <v/>
      </c>
      <c r="K42" s="30"/>
      <c r="L42" s="30" t="str">
        <f t="shared" si="2"/>
        <v/>
      </c>
      <c r="M42" s="30" t="str">
        <f t="shared" si="6"/>
        <v/>
      </c>
      <c r="N42" s="25"/>
      <c r="O42" s="31">
        <f t="shared" si="4"/>
        <v>0</v>
      </c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</row>
    <row r="43" ht="12.75" customHeight="1">
      <c r="A43" s="55">
        <v>15.0</v>
      </c>
      <c r="B43" s="36"/>
      <c r="E43" s="44"/>
      <c r="F43" s="44"/>
      <c r="G43" s="44"/>
      <c r="H43" s="44"/>
      <c r="I43" s="44"/>
      <c r="J43" s="44" t="str">
        <f t="shared" si="5"/>
        <v/>
      </c>
      <c r="K43" s="45"/>
      <c r="L43" s="44" t="str">
        <f t="shared" si="2"/>
        <v/>
      </c>
      <c r="M43" s="44" t="str">
        <f>IF(COUNTBLANK(E43:I43)&gt;0,"",IF(COUNTIF(E43:I43,"DNF")+COUNTIF(E43:I43,"DNS")&gt;1,"DNF",IF(COUNTIF(E43:I43,"DNF")+COUNTIF(E43:I43,"DNS")&gt;0,(SUM(E43:I43)-J43)/3,(SUM(E43:I43)-J43-L43)/3)))</f>
        <v/>
      </c>
      <c r="N43" s="25"/>
      <c r="O43" s="31">
        <f t="shared" si="4"/>
        <v>0</v>
      </c>
    </row>
    <row r="44" ht="12.75" customHeight="1">
      <c r="E44" s="35"/>
      <c r="F44" s="35"/>
      <c r="G44" s="35"/>
      <c r="H44" s="35"/>
      <c r="I44" s="35"/>
      <c r="J44" s="35" t="str">
        <f t="shared" si="5"/>
        <v/>
      </c>
      <c r="K44" s="35"/>
      <c r="L44" s="35" t="str">
        <f t="shared" si="2"/>
        <v/>
      </c>
      <c r="M44" s="35" t="str">
        <f>IF(COUNTBLANK(E44:I44)&gt;0,"",IF(COUNTIF(E44:I44,"DNF")+COUNTIF(E44:I44,"DNS")&gt;1,"DNF",ROUND(IF(COUNTIF(E44:I44,"DNF")+COUNTIF(E44:I44,"DNS")&gt;0,(SUM(E44:I44)-J44)/3,(SUM(E44:I44)-J44-L44)/3),2)))</f>
        <v/>
      </c>
      <c r="N44" s="25"/>
      <c r="O44" s="31">
        <f t="shared" si="4"/>
        <v>0</v>
      </c>
    </row>
    <row r="45" ht="12.75" customHeight="1">
      <c r="E45" s="40"/>
      <c r="F45" s="40"/>
      <c r="G45" s="40"/>
      <c r="H45" s="40"/>
      <c r="I45" s="40"/>
      <c r="J45" s="40"/>
      <c r="K45" s="40"/>
      <c r="L45" s="40"/>
      <c r="M45" s="40"/>
    </row>
    <row r="46" ht="12.75" customHeight="1">
      <c r="E46" s="40"/>
      <c r="F46" s="40"/>
      <c r="G46" s="40"/>
      <c r="H46" s="40"/>
      <c r="I46" s="40"/>
      <c r="J46" s="40"/>
      <c r="K46" s="40"/>
      <c r="L46" s="40"/>
      <c r="M46" s="40"/>
    </row>
    <row r="47" ht="12.75" customHeight="1">
      <c r="E47" s="40"/>
      <c r="F47" s="40"/>
      <c r="G47" s="40"/>
      <c r="H47" s="40"/>
      <c r="I47" s="40"/>
      <c r="J47" s="40"/>
      <c r="K47" s="40"/>
      <c r="L47" s="40"/>
      <c r="M47" s="40"/>
    </row>
    <row r="48" ht="12.75" customHeight="1">
      <c r="E48" s="40"/>
      <c r="F48" s="40"/>
      <c r="G48" s="40"/>
      <c r="H48" s="40"/>
      <c r="I48" s="40"/>
      <c r="J48" s="40"/>
      <c r="K48" s="40"/>
      <c r="L48" s="40"/>
      <c r="M48" s="40"/>
    </row>
    <row r="49" ht="12.75" customHeight="1">
      <c r="E49" s="40"/>
      <c r="F49" s="40"/>
      <c r="G49" s="40"/>
      <c r="H49" s="40"/>
      <c r="I49" s="40"/>
      <c r="J49" s="40"/>
      <c r="K49" s="40"/>
      <c r="L49" s="40"/>
      <c r="M49" s="40"/>
    </row>
    <row r="50" ht="12.75" customHeight="1">
      <c r="E50" s="40"/>
      <c r="F50" s="40"/>
      <c r="G50" s="40"/>
      <c r="H50" s="40"/>
      <c r="I50" s="40"/>
      <c r="J50" s="40"/>
      <c r="K50" s="40"/>
      <c r="L50" s="40"/>
      <c r="M50" s="40"/>
    </row>
    <row r="51" ht="12.75" customHeight="1">
      <c r="E51" s="40"/>
      <c r="F51" s="40"/>
      <c r="G51" s="40"/>
      <c r="H51" s="40"/>
      <c r="I51" s="40"/>
      <c r="J51" s="40"/>
      <c r="K51" s="40"/>
      <c r="L51" s="40"/>
      <c r="M51" s="40"/>
    </row>
    <row r="52" ht="12.75" customHeight="1">
      <c r="E52" s="40"/>
      <c r="F52" s="40"/>
      <c r="G52" s="40"/>
      <c r="H52" s="40"/>
      <c r="I52" s="40"/>
      <c r="J52" s="40"/>
      <c r="K52" s="40"/>
      <c r="L52" s="40"/>
      <c r="M52" s="40"/>
    </row>
    <row r="53" ht="12.75" customHeight="1">
      <c r="E53" s="40"/>
      <c r="F53" s="40"/>
      <c r="G53" s="40"/>
      <c r="H53" s="40"/>
      <c r="I53" s="40"/>
      <c r="J53" s="40"/>
      <c r="K53" s="40"/>
      <c r="L53" s="40"/>
      <c r="M53" s="40"/>
    </row>
    <row r="54" ht="12.75" customHeight="1">
      <c r="E54" s="40"/>
      <c r="F54" s="40"/>
      <c r="G54" s="40"/>
      <c r="H54" s="40"/>
      <c r="I54" s="40"/>
      <c r="J54" s="40"/>
      <c r="K54" s="40"/>
      <c r="L54" s="40"/>
      <c r="M54" s="40"/>
    </row>
    <row r="55" ht="12.75" customHeight="1">
      <c r="E55" s="40"/>
      <c r="F55" s="40"/>
      <c r="G55" s="40"/>
      <c r="H55" s="40"/>
      <c r="I55" s="40"/>
      <c r="J55" s="40"/>
      <c r="K55" s="40"/>
      <c r="L55" s="40"/>
      <c r="M55" s="40"/>
    </row>
    <row r="56" ht="12.75" customHeight="1">
      <c r="E56" s="40"/>
      <c r="F56" s="40"/>
      <c r="G56" s="40"/>
      <c r="H56" s="40"/>
      <c r="I56" s="40"/>
      <c r="J56" s="40"/>
      <c r="K56" s="40"/>
      <c r="L56" s="40"/>
      <c r="M56" s="40"/>
    </row>
    <row r="57" ht="12.75" customHeight="1">
      <c r="E57" s="40"/>
      <c r="F57" s="40"/>
      <c r="G57" s="40"/>
      <c r="H57" s="40"/>
      <c r="I57" s="40"/>
      <c r="J57" s="40"/>
      <c r="K57" s="40"/>
      <c r="L57" s="40"/>
      <c r="M57" s="40"/>
    </row>
    <row r="58" ht="12.75" customHeight="1">
      <c r="E58" s="40"/>
      <c r="F58" s="40"/>
      <c r="G58" s="40"/>
      <c r="H58" s="40"/>
      <c r="I58" s="40"/>
      <c r="J58" s="40"/>
      <c r="K58" s="40"/>
      <c r="L58" s="40"/>
      <c r="M58" s="40"/>
    </row>
    <row r="59" ht="12.75" customHeight="1">
      <c r="E59" s="40"/>
      <c r="F59" s="40"/>
      <c r="G59" s="40"/>
      <c r="H59" s="40"/>
      <c r="I59" s="40"/>
      <c r="J59" s="40"/>
      <c r="K59" s="40"/>
      <c r="L59" s="40"/>
      <c r="M59" s="40"/>
    </row>
    <row r="60" ht="12.75" customHeight="1">
      <c r="E60" s="40"/>
      <c r="F60" s="40"/>
      <c r="G60" s="40"/>
      <c r="H60" s="40"/>
      <c r="I60" s="40"/>
      <c r="J60" s="40"/>
      <c r="K60" s="40"/>
      <c r="L60" s="40"/>
      <c r="M60" s="40"/>
    </row>
    <row r="61" ht="12.75" customHeight="1">
      <c r="E61" s="40"/>
      <c r="F61" s="40"/>
      <c r="G61" s="40"/>
      <c r="H61" s="40"/>
      <c r="I61" s="40"/>
      <c r="J61" s="40"/>
      <c r="K61" s="40"/>
      <c r="L61" s="40"/>
      <c r="M61" s="40"/>
    </row>
    <row r="62" ht="12.75" customHeight="1">
      <c r="E62" s="40"/>
      <c r="F62" s="40"/>
      <c r="G62" s="40"/>
      <c r="H62" s="40"/>
      <c r="I62" s="40"/>
      <c r="J62" s="40"/>
      <c r="K62" s="40"/>
      <c r="L62" s="40"/>
      <c r="M62" s="40"/>
    </row>
    <row r="63" ht="12.75" customHeight="1">
      <c r="E63" s="40"/>
      <c r="F63" s="40"/>
      <c r="G63" s="40"/>
      <c r="H63" s="40"/>
      <c r="I63" s="40"/>
      <c r="J63" s="40"/>
      <c r="K63" s="40"/>
      <c r="L63" s="40"/>
      <c r="M63" s="40"/>
    </row>
    <row r="64" ht="12.75" customHeight="1">
      <c r="E64" s="40"/>
      <c r="F64" s="40"/>
      <c r="G64" s="40"/>
      <c r="H64" s="40"/>
      <c r="I64" s="40"/>
      <c r="J64" s="40"/>
      <c r="K64" s="40"/>
      <c r="L64" s="40"/>
      <c r="M64" s="40"/>
    </row>
    <row r="65" ht="12.75" customHeight="1">
      <c r="E65" s="40"/>
      <c r="F65" s="40"/>
      <c r="G65" s="40"/>
      <c r="H65" s="40"/>
      <c r="I65" s="40"/>
      <c r="J65" s="40"/>
      <c r="K65" s="40"/>
      <c r="L65" s="40"/>
      <c r="M65" s="40"/>
    </row>
    <row r="66" ht="12.75" customHeight="1">
      <c r="E66" s="40"/>
      <c r="F66" s="40"/>
      <c r="G66" s="40"/>
      <c r="H66" s="40"/>
      <c r="I66" s="40"/>
      <c r="J66" s="40"/>
      <c r="K66" s="40"/>
      <c r="L66" s="40"/>
      <c r="M66" s="40"/>
    </row>
    <row r="67" ht="12.75" customHeight="1">
      <c r="E67" s="40"/>
      <c r="F67" s="40"/>
      <c r="G67" s="40"/>
      <c r="H67" s="40"/>
      <c r="I67" s="40"/>
      <c r="J67" s="40"/>
      <c r="K67" s="40"/>
      <c r="L67" s="40"/>
      <c r="M67" s="40"/>
    </row>
    <row r="68" ht="12.75" customHeight="1">
      <c r="E68" s="40"/>
      <c r="F68" s="40"/>
      <c r="G68" s="40"/>
      <c r="H68" s="40"/>
      <c r="I68" s="40"/>
      <c r="J68" s="40"/>
      <c r="K68" s="40"/>
      <c r="L68" s="40"/>
      <c r="M68" s="40"/>
    </row>
    <row r="69" ht="12.75" customHeight="1">
      <c r="E69" s="40"/>
      <c r="F69" s="40"/>
      <c r="G69" s="40"/>
      <c r="H69" s="40"/>
      <c r="I69" s="40"/>
      <c r="J69" s="40"/>
      <c r="K69" s="40"/>
      <c r="L69" s="40"/>
      <c r="M69" s="40"/>
    </row>
    <row r="70" ht="12.75" customHeight="1">
      <c r="E70" s="40"/>
      <c r="F70" s="40"/>
      <c r="G70" s="40"/>
      <c r="H70" s="40"/>
      <c r="I70" s="40"/>
      <c r="J70" s="40"/>
      <c r="K70" s="40"/>
      <c r="L70" s="40"/>
      <c r="M70" s="40"/>
    </row>
    <row r="71" ht="12.75" customHeight="1">
      <c r="E71" s="40"/>
      <c r="F71" s="40"/>
      <c r="G71" s="40"/>
      <c r="H71" s="40"/>
      <c r="I71" s="40"/>
      <c r="J71" s="40"/>
      <c r="K71" s="40"/>
      <c r="L71" s="40"/>
      <c r="M71" s="40"/>
    </row>
    <row r="72" ht="12.75" customHeight="1">
      <c r="E72" s="40"/>
      <c r="F72" s="40"/>
      <c r="G72" s="40"/>
      <c r="H72" s="40"/>
      <c r="I72" s="40"/>
      <c r="J72" s="40"/>
      <c r="K72" s="40"/>
      <c r="L72" s="40"/>
      <c r="M72" s="40"/>
    </row>
    <row r="73" ht="12.75" customHeight="1">
      <c r="E73" s="40"/>
      <c r="F73" s="40"/>
      <c r="G73" s="40"/>
      <c r="H73" s="40"/>
      <c r="I73" s="40"/>
      <c r="J73" s="40"/>
      <c r="K73" s="40"/>
      <c r="L73" s="40"/>
      <c r="M73" s="40"/>
    </row>
    <row r="74" ht="12.75" customHeight="1">
      <c r="E74" s="40"/>
      <c r="F74" s="40"/>
      <c r="G74" s="40"/>
      <c r="H74" s="40"/>
      <c r="I74" s="40"/>
      <c r="J74" s="40"/>
      <c r="K74" s="40"/>
      <c r="L74" s="40"/>
      <c r="M74" s="40"/>
    </row>
    <row r="75" ht="12.75" customHeight="1">
      <c r="E75" s="40"/>
      <c r="F75" s="40"/>
      <c r="G75" s="40"/>
      <c r="H75" s="40"/>
      <c r="I75" s="40"/>
      <c r="J75" s="40"/>
      <c r="K75" s="40"/>
      <c r="L75" s="40"/>
      <c r="M75" s="40"/>
    </row>
    <row r="76" ht="12.75" customHeight="1">
      <c r="E76" s="40"/>
      <c r="F76" s="40"/>
      <c r="G76" s="40"/>
      <c r="H76" s="40"/>
      <c r="I76" s="40"/>
      <c r="J76" s="40"/>
      <c r="K76" s="40"/>
      <c r="L76" s="40"/>
      <c r="M76" s="40"/>
    </row>
    <row r="77" ht="12.75" customHeight="1">
      <c r="E77" s="40"/>
      <c r="F77" s="40"/>
      <c r="G77" s="40"/>
      <c r="H77" s="40"/>
      <c r="I77" s="40"/>
      <c r="J77" s="40"/>
      <c r="K77" s="40"/>
      <c r="L77" s="40"/>
      <c r="M77" s="40"/>
    </row>
    <row r="78" ht="12.75" customHeight="1">
      <c r="E78" s="40"/>
      <c r="F78" s="40"/>
      <c r="G78" s="40"/>
      <c r="H78" s="40"/>
      <c r="I78" s="40"/>
      <c r="J78" s="40"/>
      <c r="K78" s="40"/>
      <c r="L78" s="40"/>
      <c r="M78" s="40"/>
    </row>
    <row r="79" ht="12.75" customHeight="1">
      <c r="E79" s="40"/>
      <c r="F79" s="40"/>
      <c r="G79" s="40"/>
      <c r="H79" s="40"/>
      <c r="I79" s="40"/>
      <c r="J79" s="40"/>
      <c r="K79" s="40"/>
      <c r="L79" s="40"/>
      <c r="M79" s="40"/>
    </row>
    <row r="80" ht="12.75" customHeight="1">
      <c r="E80" s="40"/>
      <c r="F80" s="40"/>
      <c r="G80" s="40"/>
      <c r="H80" s="40"/>
      <c r="I80" s="40"/>
      <c r="J80" s="40"/>
      <c r="K80" s="40"/>
      <c r="L80" s="40"/>
      <c r="M80" s="40"/>
    </row>
    <row r="81" ht="12.75" customHeight="1">
      <c r="E81" s="40"/>
      <c r="F81" s="40"/>
      <c r="G81" s="40"/>
      <c r="H81" s="40"/>
      <c r="I81" s="40"/>
      <c r="J81" s="40"/>
      <c r="K81" s="40"/>
      <c r="L81" s="40"/>
      <c r="M81" s="40"/>
    </row>
    <row r="82" ht="12.75" customHeight="1">
      <c r="E82" s="40"/>
      <c r="F82" s="40"/>
      <c r="G82" s="40"/>
      <c r="H82" s="40"/>
      <c r="I82" s="40"/>
      <c r="J82" s="40"/>
      <c r="K82" s="40"/>
      <c r="L82" s="40"/>
      <c r="M82" s="40"/>
    </row>
    <row r="83" ht="12.75" customHeight="1">
      <c r="E83" s="40"/>
      <c r="F83" s="40"/>
      <c r="G83" s="40"/>
      <c r="H83" s="40"/>
      <c r="I83" s="40"/>
      <c r="J83" s="40"/>
      <c r="K83" s="40"/>
      <c r="L83" s="40"/>
      <c r="M83" s="40"/>
    </row>
    <row r="84" ht="12.75" customHeight="1">
      <c r="E84" s="40"/>
      <c r="F84" s="40"/>
      <c r="G84" s="40"/>
      <c r="H84" s="40"/>
      <c r="I84" s="40"/>
      <c r="J84" s="40"/>
      <c r="K84" s="40"/>
      <c r="L84" s="40"/>
      <c r="M84" s="40"/>
    </row>
    <row r="85" ht="12.75" customHeight="1">
      <c r="E85" s="40"/>
      <c r="F85" s="40"/>
      <c r="G85" s="40"/>
      <c r="H85" s="40"/>
      <c r="I85" s="40"/>
      <c r="J85" s="40"/>
      <c r="K85" s="40"/>
      <c r="L85" s="40"/>
      <c r="M85" s="40"/>
    </row>
    <row r="86" ht="12.75" customHeight="1">
      <c r="E86" s="40"/>
      <c r="F86" s="40"/>
      <c r="G86" s="40"/>
      <c r="H86" s="40"/>
      <c r="I86" s="40"/>
      <c r="J86" s="40"/>
      <c r="K86" s="40"/>
      <c r="L86" s="40"/>
      <c r="M86" s="40"/>
    </row>
    <row r="87" ht="12.75" customHeight="1">
      <c r="E87" s="40"/>
      <c r="F87" s="40"/>
      <c r="G87" s="40"/>
      <c r="H87" s="40"/>
      <c r="I87" s="40"/>
      <c r="J87" s="40"/>
      <c r="K87" s="40"/>
      <c r="L87" s="40"/>
      <c r="M87" s="40"/>
    </row>
    <row r="88" ht="12.75" customHeight="1">
      <c r="E88" s="40"/>
      <c r="F88" s="40"/>
      <c r="G88" s="40"/>
      <c r="H88" s="40"/>
      <c r="I88" s="40"/>
      <c r="J88" s="40"/>
      <c r="K88" s="40"/>
      <c r="L88" s="40"/>
      <c r="M88" s="40"/>
    </row>
    <row r="89" ht="12.75" customHeight="1">
      <c r="E89" s="40"/>
      <c r="F89" s="40"/>
      <c r="G89" s="40"/>
      <c r="H89" s="40"/>
      <c r="I89" s="40"/>
      <c r="J89" s="40"/>
      <c r="K89" s="40"/>
      <c r="L89" s="40"/>
      <c r="M89" s="40"/>
    </row>
    <row r="90" ht="12.75" customHeight="1">
      <c r="E90" s="40"/>
      <c r="F90" s="40"/>
      <c r="G90" s="40"/>
      <c r="H90" s="40"/>
      <c r="I90" s="40"/>
      <c r="J90" s="40"/>
      <c r="K90" s="40"/>
      <c r="L90" s="40"/>
      <c r="M90" s="40"/>
    </row>
    <row r="91" ht="12.75" customHeight="1">
      <c r="E91" s="40"/>
      <c r="F91" s="40"/>
      <c r="G91" s="40"/>
      <c r="H91" s="40"/>
      <c r="I91" s="40"/>
      <c r="J91" s="40"/>
      <c r="K91" s="40"/>
      <c r="L91" s="40"/>
      <c r="M91" s="40"/>
    </row>
    <row r="92" ht="12.75" customHeight="1">
      <c r="E92" s="40"/>
      <c r="F92" s="40"/>
      <c r="G92" s="40"/>
      <c r="H92" s="40"/>
      <c r="I92" s="40"/>
      <c r="J92" s="40"/>
      <c r="K92" s="40"/>
      <c r="L92" s="40"/>
      <c r="M92" s="40"/>
    </row>
    <row r="93" ht="12.75" customHeight="1">
      <c r="E93" s="40"/>
      <c r="F93" s="40"/>
      <c r="G93" s="40"/>
      <c r="H93" s="40"/>
      <c r="I93" s="40"/>
      <c r="J93" s="40"/>
      <c r="K93" s="40"/>
      <c r="L93" s="40"/>
      <c r="M93" s="40"/>
    </row>
    <row r="94" ht="12.75" customHeight="1">
      <c r="E94" s="40"/>
      <c r="F94" s="40"/>
      <c r="G94" s="40"/>
      <c r="H94" s="40"/>
      <c r="I94" s="40"/>
      <c r="J94" s="40"/>
      <c r="K94" s="40"/>
      <c r="L94" s="40"/>
      <c r="M94" s="40"/>
    </row>
    <row r="95" ht="12.75" customHeight="1">
      <c r="E95" s="40"/>
      <c r="F95" s="40"/>
      <c r="G95" s="40"/>
      <c r="H95" s="40"/>
      <c r="I95" s="40"/>
      <c r="J95" s="40"/>
      <c r="K95" s="40"/>
      <c r="L95" s="40"/>
      <c r="M95" s="40"/>
    </row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autoFilter ref="$A$4:$O$44">
    <sortState ref="A4:O44">
      <sortCondition ref="M4:M44"/>
      <sortCondition ref="B4:B44"/>
    </sortState>
  </autoFilter>
  <printOptions/>
  <pageMargins bottom="1.0" footer="0.0" header="0.0" left="0.75" right="0.75" top="1.0"/>
  <pageSetup paperSize="9"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5.38"/>
    <col customWidth="1" min="2" max="2" width="40.63"/>
    <col customWidth="1" hidden="1" min="3" max="3" width="14.13"/>
    <col customWidth="1" hidden="1" min="4" max="4" width="12.13"/>
    <col customWidth="1" hidden="1" min="5" max="5" width="14.13"/>
    <col customWidth="1" hidden="1" min="6" max="7" width="10.63"/>
    <col customWidth="1" hidden="1" min="8" max="8" width="9.88"/>
    <col customWidth="1" hidden="1" min="9" max="9" width="11.88"/>
    <col customWidth="1" hidden="1" min="10" max="10" width="14.0"/>
    <col customWidth="1" hidden="1" min="11" max="11" width="8.13"/>
    <col customWidth="1" hidden="1" min="12" max="12" width="16.13"/>
    <col customWidth="1" min="13" max="13" width="13.63"/>
    <col customWidth="1" hidden="1" min="14" max="14" width="6.88"/>
    <col customWidth="1" min="15" max="15" width="25.38"/>
    <col customWidth="1" min="16" max="26" width="9.13"/>
  </cols>
  <sheetData>
    <row r="1" ht="12.75" customHeight="1">
      <c r="A1" s="78" t="s">
        <v>144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 ht="12.75" customHeight="1">
      <c r="A2" s="19" t="s">
        <v>28</v>
      </c>
      <c r="B2" s="19"/>
      <c r="C2" s="19"/>
      <c r="D2" s="19"/>
      <c r="E2" s="19"/>
      <c r="F2" s="20"/>
      <c r="K2" s="19"/>
      <c r="L2" s="19"/>
    </row>
    <row r="3" ht="12.75" customHeight="1">
      <c r="A3" s="19" t="s">
        <v>29</v>
      </c>
      <c r="B3" s="19"/>
      <c r="K3" s="19"/>
      <c r="L3" s="19"/>
    </row>
    <row r="4" ht="12.75" customHeight="1">
      <c r="A4" s="21" t="s">
        <v>30</v>
      </c>
      <c r="B4" s="21" t="s">
        <v>3</v>
      </c>
      <c r="C4" s="21" t="s">
        <v>4</v>
      </c>
      <c r="D4" s="21" t="s">
        <v>5</v>
      </c>
      <c r="E4" s="22">
        <v>1.0</v>
      </c>
      <c r="F4" s="22">
        <v>2.0</v>
      </c>
      <c r="G4" s="22">
        <v>3.0</v>
      </c>
      <c r="H4" s="22">
        <v>4.0</v>
      </c>
      <c r="I4" s="22">
        <v>5.0</v>
      </c>
      <c r="J4" s="22" t="s">
        <v>31</v>
      </c>
      <c r="K4" s="23" t="s">
        <v>32</v>
      </c>
      <c r="L4" s="22" t="s">
        <v>33</v>
      </c>
      <c r="M4" s="22" t="s">
        <v>34</v>
      </c>
      <c r="N4" s="18" t="s">
        <v>32</v>
      </c>
      <c r="O4" s="24" t="s">
        <v>35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 ht="12.75" customHeight="1">
      <c r="A5" s="80">
        <v>1.0</v>
      </c>
      <c r="B5" s="27" t="s">
        <v>55</v>
      </c>
      <c r="E5" s="29">
        <v>17.09</v>
      </c>
      <c r="F5" s="29">
        <v>14.02</v>
      </c>
      <c r="G5" s="29">
        <v>14.58</v>
      </c>
      <c r="H5" s="29">
        <v>16.16</v>
      </c>
      <c r="I5" s="29">
        <v>14.93</v>
      </c>
      <c r="J5" s="30">
        <f t="shared" ref="J5:J27" si="1">IF(MIN(E5:I5)&gt;0,MIN(E5:I5),IF(COUNTBLANK(E5:I5)=5,"","DNF"))</f>
        <v>14.02</v>
      </c>
      <c r="K5" s="30"/>
      <c r="L5" s="30">
        <f t="shared" ref="L5:L44" si="2">IF(COUNTBLANK(E5:I5)&gt;0,"",IF(COUNTIF(E5:I5,"DNF")+COUNTIF(E5:I5,"DNS")&gt;0,"DNF",MAX(E5:I5)))</f>
        <v>17.09</v>
      </c>
      <c r="M5" s="30">
        <f t="shared" ref="M5:M28" si="3">IF(COUNTBLANK(E5:I5)&gt;0,"",IF(COUNTIF(E5:I5,"DNF")+COUNTIF(E5:I5,"DNS")&gt;1,"DNF",ROUND(IF(COUNTIF(E5:I5,"DNF")+COUNTIF(E5:I5,"DNS")&gt;0,(SUM(E5:I5)-J5)/3,(SUM(E5:I5)-J5-L5)/3),2)))</f>
        <v>15.22</v>
      </c>
      <c r="N5" s="25"/>
      <c r="O5" s="31">
        <f t="shared" ref="O5:O44" si="4">M5/86400</f>
        <v>0.0001761574074</v>
      </c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</row>
    <row r="6" ht="12.75" customHeight="1">
      <c r="A6" s="80">
        <v>2.0</v>
      </c>
      <c r="B6" s="27" t="s">
        <v>140</v>
      </c>
      <c r="E6" s="29">
        <v>15.1</v>
      </c>
      <c r="F6" s="29">
        <v>17.56</v>
      </c>
      <c r="G6" s="29">
        <v>17.06</v>
      </c>
      <c r="H6" s="29">
        <v>13.63</v>
      </c>
      <c r="I6" s="29">
        <v>16.58</v>
      </c>
      <c r="J6" s="30">
        <f t="shared" si="1"/>
        <v>13.63</v>
      </c>
      <c r="K6" s="30"/>
      <c r="L6" s="30">
        <f t="shared" si="2"/>
        <v>17.56</v>
      </c>
      <c r="M6" s="30">
        <f t="shared" si="3"/>
        <v>16.25</v>
      </c>
      <c r="N6" s="25"/>
      <c r="O6" s="31">
        <f t="shared" si="4"/>
        <v>0.0001880787037</v>
      </c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</row>
    <row r="7" ht="12.75" customHeight="1">
      <c r="A7" s="80">
        <v>3.0</v>
      </c>
      <c r="B7" s="27" t="s">
        <v>141</v>
      </c>
      <c r="E7" s="29">
        <v>21.39</v>
      </c>
      <c r="F7" s="29">
        <v>17.3</v>
      </c>
      <c r="G7" s="29">
        <v>17.45</v>
      </c>
      <c r="H7" s="29">
        <v>15.1</v>
      </c>
      <c r="I7" s="29">
        <v>19.21</v>
      </c>
      <c r="J7" s="30">
        <f t="shared" si="1"/>
        <v>15.1</v>
      </c>
      <c r="K7" s="30"/>
      <c r="L7" s="30">
        <f t="shared" si="2"/>
        <v>21.39</v>
      </c>
      <c r="M7" s="30">
        <f t="shared" si="3"/>
        <v>17.99</v>
      </c>
      <c r="N7" s="25"/>
      <c r="O7" s="31">
        <f t="shared" si="4"/>
        <v>0.0002082175926</v>
      </c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</row>
    <row r="8" ht="12.75" customHeight="1">
      <c r="A8" s="80">
        <v>4.0</v>
      </c>
      <c r="B8" s="27" t="s">
        <v>51</v>
      </c>
      <c r="E8" s="29">
        <v>17.44</v>
      </c>
      <c r="F8" s="29">
        <v>23.12</v>
      </c>
      <c r="G8" s="29">
        <v>19.14</v>
      </c>
      <c r="H8" s="29">
        <v>17.5</v>
      </c>
      <c r="I8" s="29">
        <v>19.21</v>
      </c>
      <c r="J8" s="30">
        <f t="shared" si="1"/>
        <v>17.44</v>
      </c>
      <c r="K8" s="30"/>
      <c r="L8" s="30">
        <f t="shared" si="2"/>
        <v>23.12</v>
      </c>
      <c r="M8" s="30">
        <f t="shared" si="3"/>
        <v>18.62</v>
      </c>
      <c r="N8" s="25"/>
      <c r="O8" s="31">
        <f t="shared" si="4"/>
        <v>0.0002155092593</v>
      </c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</row>
    <row r="9" ht="12.75" customHeight="1">
      <c r="A9" s="80">
        <v>5.0</v>
      </c>
      <c r="B9" s="27" t="s">
        <v>74</v>
      </c>
      <c r="E9" s="81">
        <v>14.96</v>
      </c>
      <c r="F9" s="29">
        <v>17.26</v>
      </c>
      <c r="G9" s="29">
        <v>19.11</v>
      </c>
      <c r="H9" s="29">
        <v>21.33</v>
      </c>
      <c r="I9" s="29">
        <v>19.55</v>
      </c>
      <c r="J9" s="30">
        <f t="shared" si="1"/>
        <v>14.96</v>
      </c>
      <c r="K9" s="30"/>
      <c r="L9" s="30">
        <f t="shared" si="2"/>
        <v>21.33</v>
      </c>
      <c r="M9" s="30">
        <f t="shared" si="3"/>
        <v>18.64</v>
      </c>
      <c r="N9" s="25"/>
      <c r="O9" s="31">
        <f t="shared" si="4"/>
        <v>0.0002157407407</v>
      </c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 ht="12.75" customHeight="1">
      <c r="A10" s="80">
        <v>6.0</v>
      </c>
      <c r="B10" s="27" t="s">
        <v>52</v>
      </c>
      <c r="E10" s="29" t="s">
        <v>139</v>
      </c>
      <c r="F10" s="29">
        <v>18.14</v>
      </c>
      <c r="G10" s="29">
        <v>20.9</v>
      </c>
      <c r="H10" s="29">
        <v>17.77</v>
      </c>
      <c r="I10" s="29">
        <v>14.71</v>
      </c>
      <c r="J10" s="30">
        <f t="shared" si="1"/>
        <v>14.71</v>
      </c>
      <c r="K10" s="30"/>
      <c r="L10" s="30" t="str">
        <f t="shared" si="2"/>
        <v>DNF</v>
      </c>
      <c r="M10" s="30">
        <f t="shared" si="3"/>
        <v>18.94</v>
      </c>
      <c r="N10" s="25"/>
      <c r="O10" s="31">
        <f t="shared" si="4"/>
        <v>0.000219212963</v>
      </c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 ht="12.75" customHeight="1">
      <c r="A11" s="80">
        <v>7.0</v>
      </c>
      <c r="B11" s="27" t="s">
        <v>142</v>
      </c>
      <c r="C11" s="28"/>
      <c r="D11" s="28"/>
      <c r="E11" s="29">
        <v>22.4</v>
      </c>
      <c r="F11" s="29">
        <v>28.49</v>
      </c>
      <c r="G11" s="29">
        <v>16.26</v>
      </c>
      <c r="H11" s="29">
        <v>21.41</v>
      </c>
      <c r="I11" s="29">
        <v>15.81</v>
      </c>
      <c r="J11" s="30">
        <f t="shared" si="1"/>
        <v>15.81</v>
      </c>
      <c r="K11" s="30"/>
      <c r="L11" s="30">
        <f t="shared" si="2"/>
        <v>28.49</v>
      </c>
      <c r="M11" s="30">
        <f t="shared" si="3"/>
        <v>20.02</v>
      </c>
      <c r="N11" s="25"/>
      <c r="O11" s="31">
        <f t="shared" si="4"/>
        <v>0.000231712963</v>
      </c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 ht="12.75" customHeight="1">
      <c r="A12" s="80">
        <v>8.0</v>
      </c>
      <c r="B12" s="27" t="s">
        <v>62</v>
      </c>
      <c r="C12" s="28"/>
      <c r="D12" s="28"/>
      <c r="E12" s="29">
        <v>26.51</v>
      </c>
      <c r="F12" s="29">
        <v>24.31</v>
      </c>
      <c r="G12" s="29">
        <v>30.13</v>
      </c>
      <c r="H12" s="29">
        <v>34.12</v>
      </c>
      <c r="I12" s="29">
        <v>30.62</v>
      </c>
      <c r="J12" s="30">
        <f t="shared" si="1"/>
        <v>24.31</v>
      </c>
      <c r="K12" s="30"/>
      <c r="L12" s="30">
        <f t="shared" si="2"/>
        <v>34.12</v>
      </c>
      <c r="M12" s="30">
        <f t="shared" si="3"/>
        <v>29.09</v>
      </c>
      <c r="N12" s="25"/>
      <c r="O12" s="31">
        <f t="shared" si="4"/>
        <v>0.0003366898148</v>
      </c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 ht="12.75" customHeight="1">
      <c r="A13" s="80">
        <v>9.0</v>
      </c>
      <c r="B13" s="27" t="s">
        <v>143</v>
      </c>
      <c r="C13" s="28"/>
      <c r="D13" s="28"/>
      <c r="E13" s="29"/>
      <c r="F13" s="29"/>
      <c r="G13" s="29"/>
      <c r="H13" s="29"/>
      <c r="I13" s="29"/>
      <c r="J13" s="30" t="str">
        <f t="shared" si="1"/>
        <v/>
      </c>
      <c r="K13" s="30"/>
      <c r="L13" s="30" t="str">
        <f t="shared" si="2"/>
        <v/>
      </c>
      <c r="M13" s="30" t="str">
        <f t="shared" si="3"/>
        <v/>
      </c>
      <c r="N13" s="25"/>
      <c r="O13" s="31">
        <f t="shared" si="4"/>
        <v>0</v>
      </c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 ht="12.75" customHeight="1">
      <c r="A14" s="80">
        <v>10.0</v>
      </c>
      <c r="B14" s="27"/>
      <c r="C14" s="28"/>
      <c r="D14" s="28"/>
      <c r="E14" s="29"/>
      <c r="F14" s="29"/>
      <c r="G14" s="29"/>
      <c r="H14" s="29"/>
      <c r="I14" s="29"/>
      <c r="J14" s="30" t="str">
        <f t="shared" si="1"/>
        <v/>
      </c>
      <c r="K14" s="30"/>
      <c r="L14" s="30" t="str">
        <f t="shared" si="2"/>
        <v/>
      </c>
      <c r="M14" s="30" t="str">
        <f t="shared" si="3"/>
        <v/>
      </c>
      <c r="N14" s="25"/>
      <c r="O14" s="31">
        <f t="shared" si="4"/>
        <v>0</v>
      </c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ht="12.75" customHeight="1">
      <c r="A15" s="80">
        <v>11.0</v>
      </c>
      <c r="B15" s="27"/>
      <c r="C15" s="33"/>
      <c r="D15" s="33"/>
      <c r="E15" s="30"/>
      <c r="F15" s="30"/>
      <c r="G15" s="30"/>
      <c r="H15" s="30"/>
      <c r="I15" s="30"/>
      <c r="J15" s="30" t="str">
        <f t="shared" si="1"/>
        <v/>
      </c>
      <c r="K15" s="30"/>
      <c r="L15" s="30" t="str">
        <f t="shared" si="2"/>
        <v/>
      </c>
      <c r="M15" s="30" t="str">
        <f t="shared" si="3"/>
        <v/>
      </c>
      <c r="N15" s="25"/>
      <c r="O15" s="31">
        <f t="shared" si="4"/>
        <v>0</v>
      </c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ht="12.75" customHeight="1">
      <c r="A16" s="80">
        <v>12.0</v>
      </c>
      <c r="B16" s="27"/>
      <c r="C16" s="28"/>
      <c r="D16" s="28"/>
      <c r="E16" s="30"/>
      <c r="F16" s="30"/>
      <c r="G16" s="30"/>
      <c r="H16" s="30"/>
      <c r="I16" s="30"/>
      <c r="J16" s="30" t="str">
        <f t="shared" si="1"/>
        <v/>
      </c>
      <c r="K16" s="30"/>
      <c r="L16" s="30" t="str">
        <f t="shared" si="2"/>
        <v/>
      </c>
      <c r="M16" s="30" t="str">
        <f t="shared" si="3"/>
        <v/>
      </c>
      <c r="N16" s="25"/>
      <c r="O16" s="31">
        <f t="shared" si="4"/>
        <v>0</v>
      </c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 ht="12.75" customHeight="1">
      <c r="A17" s="80">
        <v>13.0</v>
      </c>
      <c r="B17" s="27"/>
      <c r="C17" s="41"/>
      <c r="D17" s="41"/>
      <c r="E17" s="29"/>
      <c r="F17" s="29"/>
      <c r="G17" s="29"/>
      <c r="H17" s="29"/>
      <c r="I17" s="29"/>
      <c r="J17" s="30" t="str">
        <f t="shared" si="1"/>
        <v/>
      </c>
      <c r="K17" s="30"/>
      <c r="L17" s="30" t="str">
        <f t="shared" si="2"/>
        <v/>
      </c>
      <c r="M17" s="30" t="str">
        <f t="shared" si="3"/>
        <v/>
      </c>
      <c r="N17" s="25"/>
      <c r="O17" s="31">
        <f t="shared" si="4"/>
        <v>0</v>
      </c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 ht="12.75" customHeight="1">
      <c r="A18" s="80">
        <v>14.0</v>
      </c>
      <c r="B18" s="27"/>
      <c r="C18" s="28"/>
      <c r="D18" s="28"/>
      <c r="E18" s="29"/>
      <c r="F18" s="29"/>
      <c r="G18" s="29"/>
      <c r="H18" s="29"/>
      <c r="I18" s="29"/>
      <c r="J18" s="30" t="str">
        <f t="shared" si="1"/>
        <v/>
      </c>
      <c r="K18" s="30"/>
      <c r="L18" s="30" t="str">
        <f t="shared" si="2"/>
        <v/>
      </c>
      <c r="M18" s="30" t="str">
        <f t="shared" si="3"/>
        <v/>
      </c>
      <c r="N18" s="25"/>
      <c r="O18" s="31">
        <f t="shared" si="4"/>
        <v>0</v>
      </c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 ht="12.75" customHeight="1">
      <c r="A19" s="80">
        <v>15.0</v>
      </c>
      <c r="B19" s="27"/>
      <c r="C19" s="33"/>
      <c r="D19" s="33"/>
      <c r="E19" s="29"/>
      <c r="F19" s="29"/>
      <c r="G19" s="29"/>
      <c r="H19" s="29"/>
      <c r="I19" s="29"/>
      <c r="J19" s="30" t="str">
        <f t="shared" si="1"/>
        <v/>
      </c>
      <c r="K19" s="30"/>
      <c r="L19" s="30" t="str">
        <f t="shared" si="2"/>
        <v/>
      </c>
      <c r="M19" s="30" t="str">
        <f t="shared" si="3"/>
        <v/>
      </c>
      <c r="N19" s="25"/>
      <c r="O19" s="31">
        <f t="shared" si="4"/>
        <v>0</v>
      </c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 ht="12.75" customHeight="1">
      <c r="A20" s="55">
        <v>16.0</v>
      </c>
      <c r="B20" s="27"/>
      <c r="C20" s="28"/>
      <c r="D20" s="28"/>
      <c r="E20" s="29"/>
      <c r="F20" s="30"/>
      <c r="G20" s="30"/>
      <c r="H20" s="30"/>
      <c r="I20" s="30"/>
      <c r="J20" s="30" t="str">
        <f t="shared" si="1"/>
        <v/>
      </c>
      <c r="K20" s="30"/>
      <c r="L20" s="30" t="str">
        <f t="shared" si="2"/>
        <v/>
      </c>
      <c r="M20" s="30" t="str">
        <f t="shared" si="3"/>
        <v/>
      </c>
      <c r="N20" s="25"/>
      <c r="O20" s="31">
        <f t="shared" si="4"/>
        <v>0</v>
      </c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 ht="12.75" customHeight="1">
      <c r="A21" s="55">
        <v>17.0</v>
      </c>
      <c r="B21" s="36"/>
      <c r="C21" s="28"/>
      <c r="D21" s="28"/>
      <c r="E21" s="30"/>
      <c r="F21" s="30"/>
      <c r="G21" s="30"/>
      <c r="H21" s="30"/>
      <c r="I21" s="30"/>
      <c r="J21" s="30" t="str">
        <f t="shared" si="1"/>
        <v/>
      </c>
      <c r="K21" s="30"/>
      <c r="L21" s="30" t="str">
        <f t="shared" si="2"/>
        <v/>
      </c>
      <c r="M21" s="30" t="str">
        <f t="shared" si="3"/>
        <v/>
      </c>
      <c r="N21" s="25"/>
      <c r="O21" s="31">
        <f t="shared" si="4"/>
        <v>0</v>
      </c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 ht="12.75" customHeight="1">
      <c r="A22" s="55">
        <v>18.0</v>
      </c>
      <c r="B22" s="36"/>
      <c r="C22" s="33"/>
      <c r="D22" s="33"/>
      <c r="E22" s="35"/>
      <c r="F22" s="35"/>
      <c r="G22" s="35"/>
      <c r="H22" s="35"/>
      <c r="I22" s="35"/>
      <c r="J22" s="35" t="str">
        <f t="shared" si="1"/>
        <v/>
      </c>
      <c r="K22" s="35"/>
      <c r="L22" s="35" t="str">
        <f t="shared" si="2"/>
        <v/>
      </c>
      <c r="M22" s="35" t="str">
        <f t="shared" si="3"/>
        <v/>
      </c>
      <c r="N22" s="25"/>
      <c r="O22" s="31">
        <f t="shared" si="4"/>
        <v>0</v>
      </c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 ht="12.75" customHeight="1">
      <c r="A23" s="55">
        <v>19.0</v>
      </c>
      <c r="B23" s="36"/>
      <c r="C23" s="28"/>
      <c r="D23" s="28"/>
      <c r="E23" s="30"/>
      <c r="F23" s="30"/>
      <c r="G23" s="30"/>
      <c r="H23" s="30"/>
      <c r="I23" s="30"/>
      <c r="J23" s="30" t="str">
        <f t="shared" si="1"/>
        <v/>
      </c>
      <c r="K23" s="30"/>
      <c r="L23" s="30" t="str">
        <f t="shared" si="2"/>
        <v/>
      </c>
      <c r="M23" s="30" t="str">
        <f t="shared" si="3"/>
        <v/>
      </c>
      <c r="N23" s="25"/>
      <c r="O23" s="31">
        <f t="shared" si="4"/>
        <v>0</v>
      </c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 ht="12.75" customHeight="1">
      <c r="A24" s="55">
        <v>20.0</v>
      </c>
      <c r="B24" s="36"/>
      <c r="C24" s="28"/>
      <c r="D24" s="28"/>
      <c r="E24" s="30"/>
      <c r="F24" s="30"/>
      <c r="G24" s="30"/>
      <c r="H24" s="30"/>
      <c r="I24" s="30"/>
      <c r="J24" s="30" t="str">
        <f t="shared" si="1"/>
        <v/>
      </c>
      <c r="K24" s="30"/>
      <c r="L24" s="30" t="str">
        <f t="shared" si="2"/>
        <v/>
      </c>
      <c r="M24" s="30" t="str">
        <f t="shared" si="3"/>
        <v/>
      </c>
      <c r="N24" s="25"/>
      <c r="O24" s="31">
        <f t="shared" si="4"/>
        <v>0</v>
      </c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 ht="12.75" customHeight="1">
      <c r="A25" s="55">
        <v>21.0</v>
      </c>
      <c r="B25" s="36"/>
      <c r="C25" s="28"/>
      <c r="D25" s="28"/>
      <c r="E25" s="30"/>
      <c r="F25" s="30"/>
      <c r="G25" s="30"/>
      <c r="H25" s="30"/>
      <c r="I25" s="30"/>
      <c r="J25" s="30" t="str">
        <f t="shared" si="1"/>
        <v/>
      </c>
      <c r="K25" s="30"/>
      <c r="L25" s="30" t="str">
        <f t="shared" si="2"/>
        <v/>
      </c>
      <c r="M25" s="30" t="str">
        <f t="shared" si="3"/>
        <v/>
      </c>
      <c r="N25" s="25"/>
      <c r="O25" s="31">
        <f t="shared" si="4"/>
        <v>0</v>
      </c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 ht="12.75" customHeight="1">
      <c r="A26" s="55">
        <v>22.0</v>
      </c>
      <c r="B26" s="36"/>
      <c r="C26" s="28"/>
      <c r="D26" s="28"/>
      <c r="E26" s="30"/>
      <c r="F26" s="30"/>
      <c r="G26" s="30"/>
      <c r="H26" s="30"/>
      <c r="I26" s="30"/>
      <c r="J26" s="30" t="str">
        <f t="shared" si="1"/>
        <v/>
      </c>
      <c r="K26" s="30"/>
      <c r="L26" s="30" t="str">
        <f t="shared" si="2"/>
        <v/>
      </c>
      <c r="M26" s="30" t="str">
        <f t="shared" si="3"/>
        <v/>
      </c>
      <c r="N26" s="25"/>
      <c r="O26" s="31">
        <f t="shared" si="4"/>
        <v>0</v>
      </c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 ht="12.75" customHeight="1">
      <c r="A27" s="55">
        <v>23.0</v>
      </c>
      <c r="B27" s="36"/>
      <c r="C27" s="28"/>
      <c r="D27" s="28"/>
      <c r="E27" s="30"/>
      <c r="F27" s="30"/>
      <c r="G27" s="30"/>
      <c r="H27" s="30"/>
      <c r="I27" s="30"/>
      <c r="J27" s="30" t="str">
        <f t="shared" si="1"/>
        <v/>
      </c>
      <c r="K27" s="30"/>
      <c r="L27" s="30" t="str">
        <f t="shared" si="2"/>
        <v/>
      </c>
      <c r="M27" s="30" t="str">
        <f t="shared" si="3"/>
        <v/>
      </c>
      <c r="N27" s="25"/>
      <c r="O27" s="31">
        <f t="shared" si="4"/>
        <v>0</v>
      </c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 ht="12.75" customHeight="1">
      <c r="A28" s="55">
        <v>24.0</v>
      </c>
      <c r="B28" s="36"/>
      <c r="C28" s="28"/>
      <c r="D28" s="28"/>
      <c r="E28" s="30"/>
      <c r="F28" s="30"/>
      <c r="G28" s="30"/>
      <c r="H28" s="30"/>
      <c r="I28" s="30"/>
      <c r="J28" s="30">
        <v>54.39</v>
      </c>
      <c r="K28" s="30"/>
      <c r="L28" s="30" t="str">
        <f t="shared" si="2"/>
        <v/>
      </c>
      <c r="M28" s="30" t="str">
        <f t="shared" si="3"/>
        <v/>
      </c>
      <c r="N28" s="25"/>
      <c r="O28" s="31">
        <f t="shared" si="4"/>
        <v>0</v>
      </c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ht="12.75" customHeight="1">
      <c r="A29" s="55">
        <v>25.0</v>
      </c>
      <c r="B29" s="36"/>
      <c r="C29" s="28"/>
      <c r="D29" s="28"/>
      <c r="E29" s="30"/>
      <c r="F29" s="30"/>
      <c r="G29" s="30"/>
      <c r="H29" s="30"/>
      <c r="I29" s="30"/>
      <c r="J29" s="30" t="str">
        <f t="shared" ref="J29:J44" si="5">IF(MIN(E29:I29)&gt;0,MIN(E29:I29),IF(COUNTBLANK(E29:I29)=5,"","DNF"))</f>
        <v/>
      </c>
      <c r="K29" s="30"/>
      <c r="L29" s="30" t="str">
        <f t="shared" si="2"/>
        <v/>
      </c>
      <c r="M29" s="30" t="str">
        <f>IF(COUNTBLANK(E29:I29)&gt;0,"",IF(COUNTIF(E29:I29,"DNF")+COUNTIF(E29:I29,"DNS")&gt;1,"DNF",IF(COUNTIF(E29:I29,"DNF")+COUNTIF(E29:I29,"DNS")&gt;0,(SUM(E29:I29)-J29)/3,(SUM(E29:I29)-J29-L29)/3)))</f>
        <v/>
      </c>
      <c r="N29" s="25"/>
      <c r="O29" s="31">
        <f t="shared" si="4"/>
        <v>0</v>
      </c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 ht="12.75" customHeight="1">
      <c r="A30" s="55">
        <v>26.0</v>
      </c>
      <c r="B30" s="36"/>
      <c r="C30" s="28"/>
      <c r="D30" s="28"/>
      <c r="E30" s="30"/>
      <c r="F30" s="30"/>
      <c r="G30" s="30"/>
      <c r="H30" s="30"/>
      <c r="I30" s="30"/>
      <c r="J30" s="30" t="str">
        <f t="shared" si="5"/>
        <v/>
      </c>
      <c r="K30" s="30"/>
      <c r="L30" s="30" t="str">
        <f t="shared" si="2"/>
        <v/>
      </c>
      <c r="M30" s="30" t="str">
        <f t="shared" ref="M30:M42" si="6">IF(COUNTBLANK(E30:I30)&gt;0,"",IF(COUNTIF(E30:I30,"DNF")+COUNTIF(E30:I30,"DNS")&gt;1,"DNF",ROUND(IF(COUNTIF(E30:I30,"DNF")+COUNTIF(E30:I30,"DNS")&gt;0,(SUM(E30:I30)-J30)/3,(SUM(E30:I30)-J30-L30)/3),2)))</f>
        <v/>
      </c>
      <c r="N30" s="25"/>
      <c r="O30" s="31">
        <f t="shared" si="4"/>
        <v>0</v>
      </c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 ht="12.75" customHeight="1">
      <c r="A31" s="55">
        <v>27.0</v>
      </c>
      <c r="B31" s="36"/>
      <c r="C31" s="28"/>
      <c r="D31" s="28"/>
      <c r="E31" s="30"/>
      <c r="F31" s="30"/>
      <c r="G31" s="30"/>
      <c r="H31" s="30"/>
      <c r="I31" s="30"/>
      <c r="J31" s="30" t="str">
        <f t="shared" si="5"/>
        <v/>
      </c>
      <c r="K31" s="30"/>
      <c r="L31" s="30" t="str">
        <f t="shared" si="2"/>
        <v/>
      </c>
      <c r="M31" s="30" t="str">
        <f t="shared" si="6"/>
        <v/>
      </c>
      <c r="N31" s="25"/>
      <c r="O31" s="31">
        <f t="shared" si="4"/>
        <v>0</v>
      </c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 ht="12.75" customHeight="1">
      <c r="A32" s="55">
        <v>28.0</v>
      </c>
      <c r="B32" s="36"/>
      <c r="C32" s="28"/>
      <c r="D32" s="28"/>
      <c r="E32" s="30"/>
      <c r="F32" s="30"/>
      <c r="G32" s="30"/>
      <c r="H32" s="30"/>
      <c r="I32" s="30"/>
      <c r="J32" s="30" t="str">
        <f t="shared" si="5"/>
        <v/>
      </c>
      <c r="K32" s="30"/>
      <c r="L32" s="30" t="str">
        <f t="shared" si="2"/>
        <v/>
      </c>
      <c r="M32" s="30" t="str">
        <f t="shared" si="6"/>
        <v/>
      </c>
      <c r="N32" s="25"/>
      <c r="O32" s="31">
        <f t="shared" si="4"/>
        <v>0</v>
      </c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 ht="12.75" customHeight="1">
      <c r="A33" s="55">
        <v>29.0</v>
      </c>
      <c r="B33" s="36"/>
      <c r="C33" s="28"/>
      <c r="D33" s="28"/>
      <c r="E33" s="30"/>
      <c r="F33" s="30"/>
      <c r="G33" s="30"/>
      <c r="H33" s="30"/>
      <c r="I33" s="30"/>
      <c r="J33" s="30" t="str">
        <f t="shared" si="5"/>
        <v/>
      </c>
      <c r="K33" s="30"/>
      <c r="L33" s="30" t="str">
        <f t="shared" si="2"/>
        <v/>
      </c>
      <c r="M33" s="30" t="str">
        <f t="shared" si="6"/>
        <v/>
      </c>
      <c r="N33" s="25"/>
      <c r="O33" s="31">
        <f t="shared" si="4"/>
        <v>0</v>
      </c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ht="12.75" customHeight="1">
      <c r="A34" s="55">
        <v>30.0</v>
      </c>
      <c r="B34" s="36"/>
      <c r="C34" s="28"/>
      <c r="D34" s="28"/>
      <c r="E34" s="30"/>
      <c r="F34" s="30"/>
      <c r="G34" s="30"/>
      <c r="H34" s="30"/>
      <c r="I34" s="30"/>
      <c r="J34" s="30" t="str">
        <f t="shared" si="5"/>
        <v/>
      </c>
      <c r="K34" s="30"/>
      <c r="L34" s="30" t="str">
        <f t="shared" si="2"/>
        <v/>
      </c>
      <c r="M34" s="30" t="str">
        <f t="shared" si="6"/>
        <v/>
      </c>
      <c r="N34" s="25"/>
      <c r="O34" s="31">
        <f t="shared" si="4"/>
        <v>0</v>
      </c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 ht="12.75" customHeight="1">
      <c r="A35" s="55">
        <v>31.0</v>
      </c>
      <c r="B35" s="36"/>
      <c r="C35" s="28"/>
      <c r="D35" s="28"/>
      <c r="E35" s="30"/>
      <c r="F35" s="30"/>
      <c r="G35" s="30"/>
      <c r="H35" s="30"/>
      <c r="I35" s="30"/>
      <c r="J35" s="30" t="str">
        <f t="shared" si="5"/>
        <v/>
      </c>
      <c r="K35" s="30"/>
      <c r="L35" s="30" t="str">
        <f t="shared" si="2"/>
        <v/>
      </c>
      <c r="M35" s="30" t="str">
        <f t="shared" si="6"/>
        <v/>
      </c>
      <c r="N35" s="25"/>
      <c r="O35" s="31">
        <f t="shared" si="4"/>
        <v>0</v>
      </c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 ht="12.75" customHeight="1">
      <c r="A36" s="55">
        <v>32.0</v>
      </c>
      <c r="B36" s="36"/>
      <c r="C36" s="28"/>
      <c r="D36" s="28"/>
      <c r="E36" s="30"/>
      <c r="F36" s="30"/>
      <c r="G36" s="30"/>
      <c r="H36" s="30"/>
      <c r="I36" s="30"/>
      <c r="J36" s="30" t="str">
        <f t="shared" si="5"/>
        <v/>
      </c>
      <c r="K36" s="30"/>
      <c r="L36" s="30" t="str">
        <f t="shared" si="2"/>
        <v/>
      </c>
      <c r="M36" s="30" t="str">
        <f t="shared" si="6"/>
        <v/>
      </c>
      <c r="N36" s="25"/>
      <c r="O36" s="31">
        <f t="shared" si="4"/>
        <v>0</v>
      </c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 ht="12.75" customHeight="1">
      <c r="A37" s="55">
        <v>33.0</v>
      </c>
      <c r="B37" s="36"/>
      <c r="C37" s="28"/>
      <c r="D37" s="28"/>
      <c r="E37" s="30"/>
      <c r="F37" s="30"/>
      <c r="G37" s="30"/>
      <c r="H37" s="30"/>
      <c r="I37" s="30"/>
      <c r="J37" s="30" t="str">
        <f t="shared" si="5"/>
        <v/>
      </c>
      <c r="K37" s="30"/>
      <c r="L37" s="30" t="str">
        <f t="shared" si="2"/>
        <v/>
      </c>
      <c r="M37" s="30" t="str">
        <f t="shared" si="6"/>
        <v/>
      </c>
      <c r="N37" s="25"/>
      <c r="O37" s="31">
        <f t="shared" si="4"/>
        <v>0</v>
      </c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ht="12.75" customHeight="1">
      <c r="A38" s="55">
        <v>34.0</v>
      </c>
      <c r="B38" s="36"/>
      <c r="C38" s="28"/>
      <c r="D38" s="28"/>
      <c r="E38" s="30"/>
      <c r="F38" s="30"/>
      <c r="G38" s="30"/>
      <c r="H38" s="30"/>
      <c r="I38" s="30"/>
      <c r="J38" s="30" t="str">
        <f t="shared" si="5"/>
        <v/>
      </c>
      <c r="K38" s="30"/>
      <c r="L38" s="30" t="str">
        <f t="shared" si="2"/>
        <v/>
      </c>
      <c r="M38" s="30" t="str">
        <f t="shared" si="6"/>
        <v/>
      </c>
      <c r="N38" s="25"/>
      <c r="O38" s="31">
        <f t="shared" si="4"/>
        <v>0</v>
      </c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 ht="12.75" customHeight="1">
      <c r="A39" s="55">
        <v>35.0</v>
      </c>
      <c r="B39" s="36"/>
      <c r="C39" s="28"/>
      <c r="D39" s="28"/>
      <c r="E39" s="30"/>
      <c r="F39" s="30"/>
      <c r="G39" s="30"/>
      <c r="H39" s="30"/>
      <c r="I39" s="30"/>
      <c r="J39" s="30" t="str">
        <f t="shared" si="5"/>
        <v/>
      </c>
      <c r="K39" s="30"/>
      <c r="L39" s="30" t="str">
        <f t="shared" si="2"/>
        <v/>
      </c>
      <c r="M39" s="30" t="str">
        <f t="shared" si="6"/>
        <v/>
      </c>
      <c r="N39" s="25"/>
      <c r="O39" s="31">
        <f t="shared" si="4"/>
        <v>0</v>
      </c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 ht="12.75" customHeight="1">
      <c r="A40" s="55">
        <v>36.0</v>
      </c>
      <c r="B40" s="36"/>
      <c r="C40" s="28"/>
      <c r="D40" s="28"/>
      <c r="E40" s="30"/>
      <c r="F40" s="30"/>
      <c r="G40" s="30"/>
      <c r="H40" s="30"/>
      <c r="I40" s="30"/>
      <c r="J40" s="30" t="str">
        <f t="shared" si="5"/>
        <v/>
      </c>
      <c r="K40" s="30"/>
      <c r="L40" s="30" t="str">
        <f t="shared" si="2"/>
        <v/>
      </c>
      <c r="M40" s="30" t="str">
        <f t="shared" si="6"/>
        <v/>
      </c>
      <c r="N40" s="25"/>
      <c r="O40" s="31">
        <f t="shared" si="4"/>
        <v>0</v>
      </c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 ht="12.75" customHeight="1">
      <c r="A41" s="55">
        <v>37.0</v>
      </c>
      <c r="B41" s="36"/>
      <c r="C41" s="28"/>
      <c r="D41" s="28"/>
      <c r="E41" s="30"/>
      <c r="F41" s="30"/>
      <c r="G41" s="30"/>
      <c r="H41" s="30"/>
      <c r="I41" s="30"/>
      <c r="J41" s="30" t="str">
        <f t="shared" si="5"/>
        <v/>
      </c>
      <c r="K41" s="30"/>
      <c r="L41" s="30" t="str">
        <f t="shared" si="2"/>
        <v/>
      </c>
      <c r="M41" s="30" t="str">
        <f t="shared" si="6"/>
        <v/>
      </c>
      <c r="N41" s="25"/>
      <c r="O41" s="31">
        <f t="shared" si="4"/>
        <v>0</v>
      </c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 ht="12.75" customHeight="1">
      <c r="A42" s="55">
        <f>IF(AND(M41=M42,J41=J42),A41,ROW()-4)</f>
        <v>37</v>
      </c>
      <c r="B42" s="36"/>
      <c r="C42" s="28"/>
      <c r="D42" s="28"/>
      <c r="E42" s="30"/>
      <c r="F42" s="30"/>
      <c r="G42" s="30"/>
      <c r="H42" s="30"/>
      <c r="I42" s="30"/>
      <c r="J42" s="30" t="str">
        <f t="shared" si="5"/>
        <v/>
      </c>
      <c r="K42" s="30"/>
      <c r="L42" s="30" t="str">
        <f t="shared" si="2"/>
        <v/>
      </c>
      <c r="M42" s="30" t="str">
        <f t="shared" si="6"/>
        <v/>
      </c>
      <c r="N42" s="25"/>
      <c r="O42" s="31">
        <f t="shared" si="4"/>
        <v>0</v>
      </c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</row>
    <row r="43" ht="12.75" customHeight="1">
      <c r="A43" s="55">
        <v>15.0</v>
      </c>
      <c r="B43" s="36"/>
      <c r="E43" s="44"/>
      <c r="F43" s="44"/>
      <c r="G43" s="44"/>
      <c r="H43" s="44"/>
      <c r="I43" s="44"/>
      <c r="J43" s="44" t="str">
        <f t="shared" si="5"/>
        <v/>
      </c>
      <c r="K43" s="45"/>
      <c r="L43" s="44" t="str">
        <f t="shared" si="2"/>
        <v/>
      </c>
      <c r="M43" s="44" t="str">
        <f>IF(COUNTBLANK(E43:I43)&gt;0,"",IF(COUNTIF(E43:I43,"DNF")+COUNTIF(E43:I43,"DNS")&gt;1,"DNF",IF(COUNTIF(E43:I43,"DNF")+COUNTIF(E43:I43,"DNS")&gt;0,(SUM(E43:I43)-J43)/3,(SUM(E43:I43)-J43-L43)/3)))</f>
        <v/>
      </c>
      <c r="N43" s="25"/>
      <c r="O43" s="31">
        <f t="shared" si="4"/>
        <v>0</v>
      </c>
    </row>
    <row r="44" ht="12.75" customHeight="1">
      <c r="E44" s="35"/>
      <c r="F44" s="35"/>
      <c r="G44" s="35"/>
      <c r="H44" s="35"/>
      <c r="I44" s="35"/>
      <c r="J44" s="35" t="str">
        <f t="shared" si="5"/>
        <v/>
      </c>
      <c r="K44" s="35"/>
      <c r="L44" s="35" t="str">
        <f t="shared" si="2"/>
        <v/>
      </c>
      <c r="M44" s="35" t="str">
        <f>IF(COUNTBLANK(E44:I44)&gt;0,"",IF(COUNTIF(E44:I44,"DNF")+COUNTIF(E44:I44,"DNS")&gt;1,"DNF",ROUND(IF(COUNTIF(E44:I44,"DNF")+COUNTIF(E44:I44,"DNS")&gt;0,(SUM(E44:I44)-J44)/3,(SUM(E44:I44)-J44-L44)/3),2)))</f>
        <v/>
      </c>
      <c r="N44" s="25"/>
      <c r="O44" s="31">
        <f t="shared" si="4"/>
        <v>0</v>
      </c>
    </row>
    <row r="45" ht="12.75" customHeight="1">
      <c r="E45" s="40"/>
      <c r="F45" s="40"/>
      <c r="G45" s="40"/>
      <c r="H45" s="40"/>
      <c r="I45" s="40"/>
      <c r="J45" s="40"/>
      <c r="K45" s="40"/>
      <c r="L45" s="40"/>
      <c r="M45" s="40"/>
    </row>
    <row r="46" ht="12.75" customHeight="1">
      <c r="E46" s="40"/>
      <c r="F46" s="40"/>
      <c r="G46" s="40"/>
      <c r="H46" s="40"/>
      <c r="I46" s="40"/>
      <c r="J46" s="40"/>
      <c r="K46" s="40"/>
      <c r="L46" s="40"/>
      <c r="M46" s="40"/>
    </row>
    <row r="47" ht="12.75" customHeight="1">
      <c r="E47" s="40"/>
      <c r="F47" s="40"/>
      <c r="G47" s="40"/>
      <c r="H47" s="40"/>
      <c r="I47" s="40"/>
      <c r="J47" s="40"/>
      <c r="K47" s="40"/>
      <c r="L47" s="40"/>
      <c r="M47" s="40"/>
    </row>
    <row r="48" ht="12.75" customHeight="1">
      <c r="E48" s="40"/>
      <c r="F48" s="40"/>
      <c r="G48" s="40"/>
      <c r="H48" s="40"/>
      <c r="I48" s="40"/>
      <c r="J48" s="40"/>
      <c r="K48" s="40"/>
      <c r="L48" s="40"/>
      <c r="M48" s="40"/>
    </row>
    <row r="49" ht="12.75" customHeight="1">
      <c r="E49" s="40"/>
      <c r="F49" s="40"/>
      <c r="G49" s="40"/>
      <c r="H49" s="40"/>
      <c r="I49" s="40"/>
      <c r="J49" s="40"/>
      <c r="K49" s="40"/>
      <c r="L49" s="40"/>
      <c r="M49" s="40"/>
    </row>
    <row r="50" ht="12.75" customHeight="1">
      <c r="E50" s="40"/>
      <c r="F50" s="40"/>
      <c r="G50" s="40"/>
      <c r="H50" s="40"/>
      <c r="I50" s="40"/>
      <c r="J50" s="40"/>
      <c r="K50" s="40"/>
      <c r="L50" s="40"/>
      <c r="M50" s="40"/>
    </row>
    <row r="51" ht="12.75" customHeight="1">
      <c r="E51" s="40"/>
      <c r="F51" s="40"/>
      <c r="G51" s="40"/>
      <c r="H51" s="40"/>
      <c r="I51" s="40"/>
      <c r="J51" s="40"/>
      <c r="K51" s="40"/>
      <c r="L51" s="40"/>
      <c r="M51" s="40"/>
    </row>
    <row r="52" ht="12.75" customHeight="1">
      <c r="E52" s="40"/>
      <c r="F52" s="40"/>
      <c r="G52" s="40"/>
      <c r="H52" s="40"/>
      <c r="I52" s="40"/>
      <c r="J52" s="40"/>
      <c r="K52" s="40"/>
      <c r="L52" s="40"/>
      <c r="M52" s="40"/>
    </row>
    <row r="53" ht="12.75" customHeight="1">
      <c r="E53" s="40"/>
      <c r="F53" s="40"/>
      <c r="G53" s="40"/>
      <c r="H53" s="40"/>
      <c r="I53" s="40"/>
      <c r="J53" s="40"/>
      <c r="K53" s="40"/>
      <c r="L53" s="40"/>
      <c r="M53" s="40"/>
    </row>
    <row r="54" ht="12.75" customHeight="1">
      <c r="E54" s="40"/>
      <c r="F54" s="40"/>
      <c r="G54" s="40"/>
      <c r="H54" s="40"/>
      <c r="I54" s="40"/>
      <c r="J54" s="40"/>
      <c r="K54" s="40"/>
      <c r="L54" s="40"/>
      <c r="M54" s="40"/>
    </row>
    <row r="55" ht="12.75" customHeight="1">
      <c r="E55" s="40"/>
      <c r="F55" s="40"/>
      <c r="G55" s="40"/>
      <c r="H55" s="40"/>
      <c r="I55" s="40"/>
      <c r="J55" s="40"/>
      <c r="K55" s="40"/>
      <c r="L55" s="40"/>
      <c r="M55" s="40"/>
    </row>
    <row r="56" ht="12.75" customHeight="1">
      <c r="E56" s="40"/>
      <c r="F56" s="40"/>
      <c r="G56" s="40"/>
      <c r="H56" s="40"/>
      <c r="I56" s="40"/>
      <c r="J56" s="40"/>
      <c r="K56" s="40"/>
      <c r="L56" s="40"/>
      <c r="M56" s="40"/>
    </row>
    <row r="57" ht="12.75" customHeight="1">
      <c r="E57" s="40"/>
      <c r="F57" s="40"/>
      <c r="G57" s="40"/>
      <c r="H57" s="40"/>
      <c r="I57" s="40"/>
      <c r="J57" s="40"/>
      <c r="K57" s="40"/>
      <c r="L57" s="40"/>
      <c r="M57" s="40"/>
    </row>
    <row r="58" ht="12.75" customHeight="1">
      <c r="E58" s="40"/>
      <c r="F58" s="40"/>
      <c r="G58" s="40"/>
      <c r="H58" s="40"/>
      <c r="I58" s="40"/>
      <c r="J58" s="40"/>
      <c r="K58" s="40"/>
      <c r="L58" s="40"/>
      <c r="M58" s="40"/>
    </row>
    <row r="59" ht="12.75" customHeight="1">
      <c r="E59" s="40"/>
      <c r="F59" s="40"/>
      <c r="G59" s="40"/>
      <c r="H59" s="40"/>
      <c r="I59" s="40"/>
      <c r="J59" s="40"/>
      <c r="K59" s="40"/>
      <c r="L59" s="40"/>
      <c r="M59" s="40"/>
    </row>
    <row r="60" ht="12.75" customHeight="1">
      <c r="E60" s="40"/>
      <c r="F60" s="40"/>
      <c r="G60" s="40"/>
      <c r="H60" s="40"/>
      <c r="I60" s="40"/>
      <c r="J60" s="40"/>
      <c r="K60" s="40"/>
      <c r="L60" s="40"/>
      <c r="M60" s="40"/>
    </row>
    <row r="61" ht="12.75" customHeight="1">
      <c r="E61" s="40"/>
      <c r="F61" s="40"/>
      <c r="G61" s="40"/>
      <c r="H61" s="40"/>
      <c r="I61" s="40"/>
      <c r="J61" s="40"/>
      <c r="K61" s="40"/>
      <c r="L61" s="40"/>
      <c r="M61" s="40"/>
    </row>
    <row r="62" ht="12.75" customHeight="1">
      <c r="E62" s="40"/>
      <c r="F62" s="40"/>
      <c r="G62" s="40"/>
      <c r="H62" s="40"/>
      <c r="I62" s="40"/>
      <c r="J62" s="40"/>
      <c r="K62" s="40"/>
      <c r="L62" s="40"/>
      <c r="M62" s="40"/>
    </row>
    <row r="63" ht="12.75" customHeight="1">
      <c r="E63" s="40"/>
      <c r="F63" s="40"/>
      <c r="G63" s="40"/>
      <c r="H63" s="40"/>
      <c r="I63" s="40"/>
      <c r="J63" s="40"/>
      <c r="K63" s="40"/>
      <c r="L63" s="40"/>
      <c r="M63" s="40"/>
    </row>
    <row r="64" ht="12.75" customHeight="1">
      <c r="E64" s="40"/>
      <c r="F64" s="40"/>
      <c r="G64" s="40"/>
      <c r="H64" s="40"/>
      <c r="I64" s="40"/>
      <c r="J64" s="40"/>
      <c r="K64" s="40"/>
      <c r="L64" s="40"/>
      <c r="M64" s="40"/>
    </row>
    <row r="65" ht="12.75" customHeight="1">
      <c r="E65" s="40"/>
      <c r="F65" s="40"/>
      <c r="G65" s="40"/>
      <c r="H65" s="40"/>
      <c r="I65" s="40"/>
      <c r="J65" s="40"/>
      <c r="K65" s="40"/>
      <c r="L65" s="40"/>
      <c r="M65" s="40"/>
    </row>
    <row r="66" ht="12.75" customHeight="1">
      <c r="E66" s="40"/>
      <c r="F66" s="40"/>
      <c r="G66" s="40"/>
      <c r="H66" s="40"/>
      <c r="I66" s="40"/>
      <c r="J66" s="40"/>
      <c r="K66" s="40"/>
      <c r="L66" s="40"/>
      <c r="M66" s="40"/>
    </row>
    <row r="67" ht="12.75" customHeight="1">
      <c r="E67" s="40"/>
      <c r="F67" s="40"/>
      <c r="G67" s="40"/>
      <c r="H67" s="40"/>
      <c r="I67" s="40"/>
      <c r="J67" s="40"/>
      <c r="K67" s="40"/>
      <c r="L67" s="40"/>
      <c r="M67" s="40"/>
    </row>
    <row r="68" ht="12.75" customHeight="1">
      <c r="E68" s="40"/>
      <c r="F68" s="40"/>
      <c r="G68" s="40"/>
      <c r="H68" s="40"/>
      <c r="I68" s="40"/>
      <c r="J68" s="40"/>
      <c r="K68" s="40"/>
      <c r="L68" s="40"/>
      <c r="M68" s="40"/>
    </row>
    <row r="69" ht="12.75" customHeight="1">
      <c r="E69" s="40"/>
      <c r="F69" s="40"/>
      <c r="G69" s="40"/>
      <c r="H69" s="40"/>
      <c r="I69" s="40"/>
      <c r="J69" s="40"/>
      <c r="K69" s="40"/>
      <c r="L69" s="40"/>
      <c r="M69" s="40"/>
    </row>
    <row r="70" ht="12.75" customHeight="1">
      <c r="E70" s="40"/>
      <c r="F70" s="40"/>
      <c r="G70" s="40"/>
      <c r="H70" s="40"/>
      <c r="I70" s="40"/>
      <c r="J70" s="40"/>
      <c r="K70" s="40"/>
      <c r="L70" s="40"/>
      <c r="M70" s="40"/>
    </row>
    <row r="71" ht="12.75" customHeight="1">
      <c r="E71" s="40"/>
      <c r="F71" s="40"/>
      <c r="G71" s="40"/>
      <c r="H71" s="40"/>
      <c r="I71" s="40"/>
      <c r="J71" s="40"/>
      <c r="K71" s="40"/>
      <c r="L71" s="40"/>
      <c r="M71" s="40"/>
    </row>
    <row r="72" ht="12.75" customHeight="1">
      <c r="E72" s="40"/>
      <c r="F72" s="40"/>
      <c r="G72" s="40"/>
      <c r="H72" s="40"/>
      <c r="I72" s="40"/>
      <c r="J72" s="40"/>
      <c r="K72" s="40"/>
      <c r="L72" s="40"/>
      <c r="M72" s="40"/>
    </row>
    <row r="73" ht="12.75" customHeight="1">
      <c r="E73" s="40"/>
      <c r="F73" s="40"/>
      <c r="G73" s="40"/>
      <c r="H73" s="40"/>
      <c r="I73" s="40"/>
      <c r="J73" s="40"/>
      <c r="K73" s="40"/>
      <c r="L73" s="40"/>
      <c r="M73" s="40"/>
    </row>
    <row r="74" ht="12.75" customHeight="1">
      <c r="E74" s="40"/>
      <c r="F74" s="40"/>
      <c r="G74" s="40"/>
      <c r="H74" s="40"/>
      <c r="I74" s="40"/>
      <c r="J74" s="40"/>
      <c r="K74" s="40"/>
      <c r="L74" s="40"/>
      <c r="M74" s="40"/>
    </row>
    <row r="75" ht="12.75" customHeight="1">
      <c r="E75" s="40"/>
      <c r="F75" s="40"/>
      <c r="G75" s="40"/>
      <c r="H75" s="40"/>
      <c r="I75" s="40"/>
      <c r="J75" s="40"/>
      <c r="K75" s="40"/>
      <c r="L75" s="40"/>
      <c r="M75" s="40"/>
    </row>
    <row r="76" ht="12.75" customHeight="1">
      <c r="E76" s="40"/>
      <c r="F76" s="40"/>
      <c r="G76" s="40"/>
      <c r="H76" s="40"/>
      <c r="I76" s="40"/>
      <c r="J76" s="40"/>
      <c r="K76" s="40"/>
      <c r="L76" s="40"/>
      <c r="M76" s="40"/>
    </row>
    <row r="77" ht="12.75" customHeight="1">
      <c r="E77" s="40"/>
      <c r="F77" s="40"/>
      <c r="G77" s="40"/>
      <c r="H77" s="40"/>
      <c r="I77" s="40"/>
      <c r="J77" s="40"/>
      <c r="K77" s="40"/>
      <c r="L77" s="40"/>
      <c r="M77" s="40"/>
    </row>
    <row r="78" ht="12.75" customHeight="1">
      <c r="E78" s="40"/>
      <c r="F78" s="40"/>
      <c r="G78" s="40"/>
      <c r="H78" s="40"/>
      <c r="I78" s="40"/>
      <c r="J78" s="40"/>
      <c r="K78" s="40"/>
      <c r="L78" s="40"/>
      <c r="M78" s="40"/>
    </row>
    <row r="79" ht="12.75" customHeight="1">
      <c r="E79" s="40"/>
      <c r="F79" s="40"/>
      <c r="G79" s="40"/>
      <c r="H79" s="40"/>
      <c r="I79" s="40"/>
      <c r="J79" s="40"/>
      <c r="K79" s="40"/>
      <c r="L79" s="40"/>
      <c r="M79" s="40"/>
    </row>
    <row r="80" ht="12.75" customHeight="1">
      <c r="E80" s="40"/>
      <c r="F80" s="40"/>
      <c r="G80" s="40"/>
      <c r="H80" s="40"/>
      <c r="I80" s="40"/>
      <c r="J80" s="40"/>
      <c r="K80" s="40"/>
      <c r="L80" s="40"/>
      <c r="M80" s="40"/>
    </row>
    <row r="81" ht="12.75" customHeight="1">
      <c r="E81" s="40"/>
      <c r="F81" s="40"/>
      <c r="G81" s="40"/>
      <c r="H81" s="40"/>
      <c r="I81" s="40"/>
      <c r="J81" s="40"/>
      <c r="K81" s="40"/>
      <c r="L81" s="40"/>
      <c r="M81" s="40"/>
    </row>
    <row r="82" ht="12.75" customHeight="1">
      <c r="E82" s="40"/>
      <c r="F82" s="40"/>
      <c r="G82" s="40"/>
      <c r="H82" s="40"/>
      <c r="I82" s="40"/>
      <c r="J82" s="40"/>
      <c r="K82" s="40"/>
      <c r="L82" s="40"/>
      <c r="M82" s="40"/>
    </row>
    <row r="83" ht="12.75" customHeight="1">
      <c r="E83" s="40"/>
      <c r="F83" s="40"/>
      <c r="G83" s="40"/>
      <c r="H83" s="40"/>
      <c r="I83" s="40"/>
      <c r="J83" s="40"/>
      <c r="K83" s="40"/>
      <c r="L83" s="40"/>
      <c r="M83" s="40"/>
    </row>
    <row r="84" ht="12.75" customHeight="1">
      <c r="E84" s="40"/>
      <c r="F84" s="40"/>
      <c r="G84" s="40"/>
      <c r="H84" s="40"/>
      <c r="I84" s="40"/>
      <c r="J84" s="40"/>
      <c r="K84" s="40"/>
      <c r="L84" s="40"/>
      <c r="M84" s="40"/>
    </row>
    <row r="85" ht="12.75" customHeight="1">
      <c r="E85" s="40"/>
      <c r="F85" s="40"/>
      <c r="G85" s="40"/>
      <c r="H85" s="40"/>
      <c r="I85" s="40"/>
      <c r="J85" s="40"/>
      <c r="K85" s="40"/>
      <c r="L85" s="40"/>
      <c r="M85" s="40"/>
    </row>
    <row r="86" ht="12.75" customHeight="1">
      <c r="E86" s="40"/>
      <c r="F86" s="40"/>
      <c r="G86" s="40"/>
      <c r="H86" s="40"/>
      <c r="I86" s="40"/>
      <c r="J86" s="40"/>
      <c r="K86" s="40"/>
      <c r="L86" s="40"/>
      <c r="M86" s="40"/>
    </row>
    <row r="87" ht="12.75" customHeight="1">
      <c r="E87" s="40"/>
      <c r="F87" s="40"/>
      <c r="G87" s="40"/>
      <c r="H87" s="40"/>
      <c r="I87" s="40"/>
      <c r="J87" s="40"/>
      <c r="K87" s="40"/>
      <c r="L87" s="40"/>
      <c r="M87" s="40"/>
    </row>
    <row r="88" ht="12.75" customHeight="1">
      <c r="E88" s="40"/>
      <c r="F88" s="40"/>
      <c r="G88" s="40"/>
      <c r="H88" s="40"/>
      <c r="I88" s="40"/>
      <c r="J88" s="40"/>
      <c r="K88" s="40"/>
      <c r="L88" s="40"/>
      <c r="M88" s="40"/>
    </row>
    <row r="89" ht="12.75" customHeight="1">
      <c r="E89" s="40"/>
      <c r="F89" s="40"/>
      <c r="G89" s="40"/>
      <c r="H89" s="40"/>
      <c r="I89" s="40"/>
      <c r="J89" s="40"/>
      <c r="K89" s="40"/>
      <c r="L89" s="40"/>
      <c r="M89" s="40"/>
    </row>
    <row r="90" ht="12.75" customHeight="1">
      <c r="E90" s="40"/>
      <c r="F90" s="40"/>
      <c r="G90" s="40"/>
      <c r="H90" s="40"/>
      <c r="I90" s="40"/>
      <c r="J90" s="40"/>
      <c r="K90" s="40"/>
      <c r="L90" s="40"/>
      <c r="M90" s="40"/>
    </row>
    <row r="91" ht="12.75" customHeight="1">
      <c r="E91" s="40"/>
      <c r="F91" s="40"/>
      <c r="G91" s="40"/>
      <c r="H91" s="40"/>
      <c r="I91" s="40"/>
      <c r="J91" s="40"/>
      <c r="K91" s="40"/>
      <c r="L91" s="40"/>
      <c r="M91" s="40"/>
    </row>
    <row r="92" ht="12.75" customHeight="1">
      <c r="E92" s="40"/>
      <c r="F92" s="40"/>
      <c r="G92" s="40"/>
      <c r="H92" s="40"/>
      <c r="I92" s="40"/>
      <c r="J92" s="40"/>
      <c r="K92" s="40"/>
      <c r="L92" s="40"/>
      <c r="M92" s="40"/>
    </row>
    <row r="93" ht="12.75" customHeight="1">
      <c r="E93" s="40"/>
      <c r="F93" s="40"/>
      <c r="G93" s="40"/>
      <c r="H93" s="40"/>
      <c r="I93" s="40"/>
      <c r="J93" s="40"/>
      <c r="K93" s="40"/>
      <c r="L93" s="40"/>
      <c r="M93" s="40"/>
    </row>
    <row r="94" ht="12.75" customHeight="1">
      <c r="E94" s="40"/>
      <c r="F94" s="40"/>
      <c r="G94" s="40"/>
      <c r="H94" s="40"/>
      <c r="I94" s="40"/>
      <c r="J94" s="40"/>
      <c r="K94" s="40"/>
      <c r="L94" s="40"/>
      <c r="M94" s="40"/>
    </row>
    <row r="95" ht="12.75" customHeight="1">
      <c r="E95" s="40"/>
      <c r="F95" s="40"/>
      <c r="G95" s="40"/>
      <c r="H95" s="40"/>
      <c r="I95" s="40"/>
      <c r="J95" s="40"/>
      <c r="K95" s="40"/>
      <c r="L95" s="40"/>
      <c r="M95" s="40"/>
    </row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" footer="0.0" header="0.0" left="0.75" right="0.75" top="1.0"/>
  <pageSetup paperSize="9"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5.38"/>
    <col customWidth="1" min="2" max="2" width="38.25"/>
    <col customWidth="1" hidden="1" min="3" max="3" width="14.13"/>
    <col customWidth="1" hidden="1" min="4" max="4" width="19.13"/>
    <col customWidth="1" min="5" max="5" width="14.13"/>
    <col customWidth="1" min="6" max="7" width="10.63"/>
    <col customWidth="1" min="8" max="8" width="9.88"/>
    <col customWidth="1" min="9" max="9" width="11.88"/>
    <col customWidth="1" min="10" max="10" width="14.0"/>
    <col customWidth="1" hidden="1" min="11" max="11" width="8.13"/>
    <col customWidth="1" min="12" max="12" width="16.13"/>
    <col customWidth="1" min="13" max="13" width="13.63"/>
    <col customWidth="1" hidden="1" min="14" max="14" width="6.88"/>
    <col customWidth="1" min="15" max="15" width="25.38"/>
    <col customWidth="1" min="16" max="26" width="9.13"/>
  </cols>
  <sheetData>
    <row r="1" ht="12.75" customHeight="1">
      <c r="A1" s="78" t="s">
        <v>145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 ht="12.75" customHeight="1">
      <c r="A2" s="19" t="s">
        <v>28</v>
      </c>
      <c r="B2" s="19"/>
      <c r="C2" s="19"/>
      <c r="D2" s="19"/>
      <c r="E2" s="19"/>
      <c r="F2" s="20"/>
      <c r="K2" s="19"/>
      <c r="L2" s="19"/>
    </row>
    <row r="3" ht="12.75" customHeight="1">
      <c r="A3" s="19" t="s">
        <v>29</v>
      </c>
      <c r="B3" s="19"/>
      <c r="K3" s="19"/>
      <c r="L3" s="19"/>
    </row>
    <row r="4" ht="12.75" customHeight="1">
      <c r="A4" s="21" t="s">
        <v>30</v>
      </c>
      <c r="B4" s="21" t="s">
        <v>3</v>
      </c>
      <c r="C4" s="21" t="s">
        <v>4</v>
      </c>
      <c r="D4" s="21" t="s">
        <v>5</v>
      </c>
      <c r="E4" s="22">
        <v>1.0</v>
      </c>
      <c r="F4" s="22">
        <v>2.0</v>
      </c>
      <c r="G4" s="22">
        <v>3.0</v>
      </c>
      <c r="H4" s="22">
        <v>4.0</v>
      </c>
      <c r="I4" s="22">
        <v>5.0</v>
      </c>
      <c r="J4" s="22" t="s">
        <v>31</v>
      </c>
      <c r="K4" s="23" t="s">
        <v>32</v>
      </c>
      <c r="L4" s="22" t="s">
        <v>33</v>
      </c>
      <c r="M4" s="22" t="s">
        <v>34</v>
      </c>
      <c r="N4" s="18" t="s">
        <v>32</v>
      </c>
      <c r="O4" s="24" t="s">
        <v>35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 ht="12.75" customHeight="1">
      <c r="A5" s="80">
        <v>1.0</v>
      </c>
      <c r="B5" s="27" t="s">
        <v>50</v>
      </c>
      <c r="C5" s="28"/>
      <c r="D5" s="28"/>
      <c r="E5" s="29">
        <v>17.45</v>
      </c>
      <c r="F5" s="29">
        <v>13.59</v>
      </c>
      <c r="G5" s="29">
        <v>13.72</v>
      </c>
      <c r="H5" s="29">
        <v>13.89</v>
      </c>
      <c r="I5" s="29">
        <v>11.72</v>
      </c>
      <c r="J5" s="30">
        <f t="shared" ref="J5:J27" si="1">IF(MIN(E5:I5)&gt;0,MIN(E5:I5),IF(COUNTBLANK(E5:I5)=5,"","DNF"))</f>
        <v>11.72</v>
      </c>
      <c r="K5" s="30"/>
      <c r="L5" s="30">
        <f t="shared" ref="L5:L44" si="2">IF(COUNTBLANK(E5:I5)&gt;0,"",IF(COUNTIF(E5:I5,"DNF")+COUNTIF(E5:I5,"DNS")&gt;0,"DNF",MAX(E5:I5)))</f>
        <v>17.45</v>
      </c>
      <c r="M5" s="30">
        <f t="shared" ref="M5:M28" si="3">IF(COUNTBLANK(E5:I5)&gt;0,"",IF(COUNTIF(E5:I5,"DNF")+COUNTIF(E5:I5,"DNS")&gt;1,"DNF",ROUND(IF(COUNTIF(E5:I5,"DNF")+COUNTIF(E5:I5,"DNS")&gt;0,(SUM(E5:I5)-J5)/3,(SUM(E5:I5)-J5-L5)/3),2)))</f>
        <v>13.73</v>
      </c>
      <c r="N5" s="25"/>
      <c r="O5" s="31">
        <f t="shared" ref="O5:O44" si="4">M5/86400</f>
        <v>0.000158912037</v>
      </c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</row>
    <row r="6" ht="12.75" customHeight="1">
      <c r="A6" s="80">
        <v>2.0</v>
      </c>
      <c r="B6" s="27" t="s">
        <v>53</v>
      </c>
      <c r="C6" s="28"/>
      <c r="D6" s="28"/>
      <c r="E6" s="29">
        <v>15.1</v>
      </c>
      <c r="F6" s="29">
        <v>12.58</v>
      </c>
      <c r="G6" s="29">
        <v>11.82</v>
      </c>
      <c r="H6" s="29">
        <v>18.6</v>
      </c>
      <c r="I6" s="29">
        <v>13.58</v>
      </c>
      <c r="J6" s="30">
        <f t="shared" si="1"/>
        <v>11.82</v>
      </c>
      <c r="K6" s="30"/>
      <c r="L6" s="30">
        <f t="shared" si="2"/>
        <v>18.6</v>
      </c>
      <c r="M6" s="30">
        <f t="shared" si="3"/>
        <v>13.75</v>
      </c>
      <c r="N6" s="25"/>
      <c r="O6" s="31">
        <f t="shared" si="4"/>
        <v>0.0001591435185</v>
      </c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</row>
    <row r="7" ht="12.75" customHeight="1">
      <c r="A7" s="80">
        <v>3.0</v>
      </c>
      <c r="B7" s="27" t="s">
        <v>75</v>
      </c>
      <c r="C7" s="33"/>
      <c r="D7" s="33"/>
      <c r="E7" s="29">
        <v>12.82</v>
      </c>
      <c r="F7" s="29">
        <v>13.48</v>
      </c>
      <c r="G7" s="29">
        <v>14.2</v>
      </c>
      <c r="H7" s="29">
        <v>14.07</v>
      </c>
      <c r="I7" s="29">
        <v>15.91</v>
      </c>
      <c r="J7" s="30">
        <f t="shared" si="1"/>
        <v>12.82</v>
      </c>
      <c r="K7" s="30"/>
      <c r="L7" s="30">
        <f t="shared" si="2"/>
        <v>15.91</v>
      </c>
      <c r="M7" s="30">
        <f t="shared" si="3"/>
        <v>13.92</v>
      </c>
      <c r="N7" s="25"/>
      <c r="O7" s="31">
        <f t="shared" si="4"/>
        <v>0.0001611111111</v>
      </c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</row>
    <row r="8" ht="12.75" customHeight="1">
      <c r="A8" s="80">
        <v>4.0</v>
      </c>
      <c r="B8" s="27" t="s">
        <v>40</v>
      </c>
      <c r="C8" s="33"/>
      <c r="D8" s="33"/>
      <c r="E8" s="29">
        <v>12.38</v>
      </c>
      <c r="F8" s="29">
        <v>17.25</v>
      </c>
      <c r="G8" s="29">
        <v>14.45</v>
      </c>
      <c r="H8" s="29">
        <v>16.89</v>
      </c>
      <c r="I8" s="29">
        <v>15.11</v>
      </c>
      <c r="J8" s="30">
        <f t="shared" si="1"/>
        <v>12.38</v>
      </c>
      <c r="K8" s="30"/>
      <c r="L8" s="30">
        <f t="shared" si="2"/>
        <v>17.25</v>
      </c>
      <c r="M8" s="30">
        <f t="shared" si="3"/>
        <v>15.48</v>
      </c>
      <c r="N8" s="25"/>
      <c r="O8" s="31">
        <f t="shared" si="4"/>
        <v>0.0001791666667</v>
      </c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</row>
    <row r="9" ht="12.75" customHeight="1">
      <c r="A9" s="80">
        <v>5.0</v>
      </c>
      <c r="B9" s="27" t="s">
        <v>72</v>
      </c>
      <c r="C9" s="28"/>
      <c r="D9" s="28"/>
      <c r="E9" s="81">
        <v>16.9</v>
      </c>
      <c r="F9" s="29">
        <v>14.36</v>
      </c>
      <c r="G9" s="29">
        <v>13.31</v>
      </c>
      <c r="H9" s="29">
        <v>15.46</v>
      </c>
      <c r="I9" s="29">
        <v>17.0</v>
      </c>
      <c r="J9" s="30">
        <f t="shared" si="1"/>
        <v>13.31</v>
      </c>
      <c r="K9" s="30"/>
      <c r="L9" s="30">
        <f t="shared" si="2"/>
        <v>17</v>
      </c>
      <c r="M9" s="30">
        <f t="shared" si="3"/>
        <v>15.57</v>
      </c>
      <c r="N9" s="25"/>
      <c r="O9" s="31">
        <f t="shared" si="4"/>
        <v>0.0001802083333</v>
      </c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 ht="12.75" customHeight="1">
      <c r="A10" s="80">
        <v>6.0</v>
      </c>
      <c r="B10" s="27" t="s">
        <v>42</v>
      </c>
      <c r="C10" s="33"/>
      <c r="D10" s="33"/>
      <c r="E10" s="29">
        <v>18.22</v>
      </c>
      <c r="F10" s="29">
        <v>14.85</v>
      </c>
      <c r="G10" s="29">
        <v>16.64</v>
      </c>
      <c r="H10" s="29">
        <v>18.11</v>
      </c>
      <c r="I10" s="29">
        <v>16.4</v>
      </c>
      <c r="J10" s="30">
        <f t="shared" si="1"/>
        <v>14.85</v>
      </c>
      <c r="K10" s="30"/>
      <c r="L10" s="30">
        <f t="shared" si="2"/>
        <v>18.22</v>
      </c>
      <c r="M10" s="30">
        <f t="shared" si="3"/>
        <v>17.05</v>
      </c>
      <c r="N10" s="25"/>
      <c r="O10" s="31">
        <f t="shared" si="4"/>
        <v>0.000197337963</v>
      </c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 ht="12.75" customHeight="1">
      <c r="A11" s="80">
        <v>7.0</v>
      </c>
      <c r="B11" s="27" t="s">
        <v>45</v>
      </c>
      <c r="C11" s="41"/>
      <c r="D11" s="41"/>
      <c r="E11" s="29">
        <v>20.67</v>
      </c>
      <c r="F11" s="29">
        <v>27.11</v>
      </c>
      <c r="G11" s="29">
        <v>12.74</v>
      </c>
      <c r="H11" s="29">
        <v>16.38</v>
      </c>
      <c r="I11" s="29">
        <v>15.56</v>
      </c>
      <c r="J11" s="30">
        <f t="shared" si="1"/>
        <v>12.74</v>
      </c>
      <c r="K11" s="30"/>
      <c r="L11" s="30">
        <f t="shared" si="2"/>
        <v>27.11</v>
      </c>
      <c r="M11" s="30">
        <f t="shared" si="3"/>
        <v>17.54</v>
      </c>
      <c r="N11" s="25"/>
      <c r="O11" s="31">
        <f t="shared" si="4"/>
        <v>0.0002030092593</v>
      </c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 ht="12.75" customHeight="1">
      <c r="A12" s="80">
        <v>8.0</v>
      </c>
      <c r="B12" s="27"/>
      <c r="C12" s="28"/>
      <c r="D12" s="28"/>
      <c r="E12" s="29"/>
      <c r="F12" s="29"/>
      <c r="G12" s="29"/>
      <c r="H12" s="29"/>
      <c r="I12" s="29"/>
      <c r="J12" s="30" t="str">
        <f t="shared" si="1"/>
        <v/>
      </c>
      <c r="K12" s="30"/>
      <c r="L12" s="30" t="str">
        <f t="shared" si="2"/>
        <v/>
      </c>
      <c r="M12" s="30" t="str">
        <f t="shared" si="3"/>
        <v/>
      </c>
      <c r="N12" s="25"/>
      <c r="O12" s="31">
        <f t="shared" si="4"/>
        <v>0</v>
      </c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 ht="12.75" customHeight="1">
      <c r="A13" s="80">
        <v>9.0</v>
      </c>
      <c r="B13" s="27"/>
      <c r="C13" s="28"/>
      <c r="D13" s="28"/>
      <c r="E13" s="29"/>
      <c r="F13" s="29"/>
      <c r="G13" s="29"/>
      <c r="H13" s="29"/>
      <c r="I13" s="29"/>
      <c r="J13" s="30" t="str">
        <f t="shared" si="1"/>
        <v/>
      </c>
      <c r="K13" s="30"/>
      <c r="L13" s="30" t="str">
        <f t="shared" si="2"/>
        <v/>
      </c>
      <c r="M13" s="30" t="str">
        <f t="shared" si="3"/>
        <v/>
      </c>
      <c r="N13" s="25"/>
      <c r="O13" s="31">
        <f t="shared" si="4"/>
        <v>0</v>
      </c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 ht="12.75" customHeight="1">
      <c r="A14" s="80">
        <v>10.0</v>
      </c>
      <c r="B14" s="27"/>
      <c r="C14" s="28"/>
      <c r="D14" s="28"/>
      <c r="E14" s="29"/>
      <c r="F14" s="29"/>
      <c r="G14" s="29"/>
      <c r="H14" s="29"/>
      <c r="I14" s="29"/>
      <c r="J14" s="30" t="str">
        <f t="shared" si="1"/>
        <v/>
      </c>
      <c r="K14" s="30"/>
      <c r="L14" s="30" t="str">
        <f t="shared" si="2"/>
        <v/>
      </c>
      <c r="M14" s="30" t="str">
        <f t="shared" si="3"/>
        <v/>
      </c>
      <c r="N14" s="25"/>
      <c r="O14" s="31">
        <f t="shared" si="4"/>
        <v>0</v>
      </c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ht="12.75" customHeight="1">
      <c r="A15" s="80">
        <v>11.0</v>
      </c>
      <c r="B15" s="36"/>
      <c r="C15" s="28"/>
      <c r="D15" s="28"/>
      <c r="E15" s="30"/>
      <c r="F15" s="30"/>
      <c r="G15" s="30"/>
      <c r="H15" s="30"/>
      <c r="I15" s="30"/>
      <c r="J15" s="30" t="str">
        <f t="shared" si="1"/>
        <v/>
      </c>
      <c r="K15" s="30"/>
      <c r="L15" s="30" t="str">
        <f t="shared" si="2"/>
        <v/>
      </c>
      <c r="M15" s="30" t="str">
        <f t="shared" si="3"/>
        <v/>
      </c>
      <c r="N15" s="25"/>
      <c r="O15" s="31">
        <f t="shared" si="4"/>
        <v>0</v>
      </c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ht="12.75" customHeight="1">
      <c r="A16" s="80">
        <v>12.0</v>
      </c>
      <c r="B16" s="36"/>
      <c r="C16" s="28"/>
      <c r="D16" s="28"/>
      <c r="E16" s="30"/>
      <c r="F16" s="30"/>
      <c r="G16" s="30"/>
      <c r="H16" s="30"/>
      <c r="I16" s="30"/>
      <c r="J16" s="30" t="str">
        <f t="shared" si="1"/>
        <v/>
      </c>
      <c r="K16" s="30"/>
      <c r="L16" s="30" t="str">
        <f t="shared" si="2"/>
        <v/>
      </c>
      <c r="M16" s="30" t="str">
        <f t="shared" si="3"/>
        <v/>
      </c>
      <c r="N16" s="25"/>
      <c r="O16" s="31">
        <f t="shared" si="4"/>
        <v>0</v>
      </c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 ht="12.75" customHeight="1">
      <c r="A17" s="80">
        <v>13.0</v>
      </c>
      <c r="B17" s="36"/>
      <c r="C17" s="28"/>
      <c r="D17" s="28"/>
      <c r="E17" s="30"/>
      <c r="F17" s="30"/>
      <c r="G17" s="30"/>
      <c r="H17" s="30"/>
      <c r="I17" s="30"/>
      <c r="J17" s="30" t="str">
        <f t="shared" si="1"/>
        <v/>
      </c>
      <c r="K17" s="30"/>
      <c r="L17" s="30" t="str">
        <f t="shared" si="2"/>
        <v/>
      </c>
      <c r="M17" s="30" t="str">
        <f t="shared" si="3"/>
        <v/>
      </c>
      <c r="N17" s="25"/>
      <c r="O17" s="31">
        <f t="shared" si="4"/>
        <v>0</v>
      </c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 ht="12.75" customHeight="1">
      <c r="A18" s="80">
        <v>14.0</v>
      </c>
      <c r="B18" s="36"/>
      <c r="C18" s="28"/>
      <c r="D18" s="28"/>
      <c r="E18" s="30"/>
      <c r="F18" s="30"/>
      <c r="G18" s="30"/>
      <c r="H18" s="30"/>
      <c r="I18" s="30"/>
      <c r="J18" s="30" t="str">
        <f t="shared" si="1"/>
        <v/>
      </c>
      <c r="K18" s="30"/>
      <c r="L18" s="30" t="str">
        <f t="shared" si="2"/>
        <v/>
      </c>
      <c r="M18" s="30" t="str">
        <f t="shared" si="3"/>
        <v/>
      </c>
      <c r="N18" s="25"/>
      <c r="O18" s="31">
        <f t="shared" si="4"/>
        <v>0</v>
      </c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 ht="12.75" customHeight="1">
      <c r="A19" s="80">
        <v>15.0</v>
      </c>
      <c r="B19" s="36"/>
      <c r="C19" s="28"/>
      <c r="D19" s="28"/>
      <c r="E19" s="30"/>
      <c r="F19" s="30"/>
      <c r="G19" s="30"/>
      <c r="H19" s="30"/>
      <c r="I19" s="30"/>
      <c r="J19" s="30" t="str">
        <f t="shared" si="1"/>
        <v/>
      </c>
      <c r="K19" s="30"/>
      <c r="L19" s="30" t="str">
        <f t="shared" si="2"/>
        <v/>
      </c>
      <c r="M19" s="30" t="str">
        <f t="shared" si="3"/>
        <v/>
      </c>
      <c r="N19" s="25"/>
      <c r="O19" s="31">
        <f t="shared" si="4"/>
        <v>0</v>
      </c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 ht="12.75" customHeight="1">
      <c r="A20" s="80">
        <v>16.0</v>
      </c>
      <c r="B20" s="36"/>
      <c r="C20" s="28"/>
      <c r="D20" s="28"/>
      <c r="E20" s="30"/>
      <c r="F20" s="30"/>
      <c r="G20" s="30"/>
      <c r="H20" s="30"/>
      <c r="I20" s="30"/>
      <c r="J20" s="30" t="str">
        <f t="shared" si="1"/>
        <v/>
      </c>
      <c r="K20" s="30"/>
      <c r="L20" s="30" t="str">
        <f t="shared" si="2"/>
        <v/>
      </c>
      <c r="M20" s="30" t="str">
        <f t="shared" si="3"/>
        <v/>
      </c>
      <c r="N20" s="25"/>
      <c r="O20" s="31">
        <f t="shared" si="4"/>
        <v>0</v>
      </c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 ht="12.75" customHeight="1">
      <c r="A21" s="80">
        <v>17.0</v>
      </c>
      <c r="B21" s="36"/>
      <c r="C21" s="28"/>
      <c r="D21" s="28"/>
      <c r="E21" s="30"/>
      <c r="F21" s="30"/>
      <c r="G21" s="30"/>
      <c r="H21" s="30"/>
      <c r="I21" s="30"/>
      <c r="J21" s="30" t="str">
        <f t="shared" si="1"/>
        <v/>
      </c>
      <c r="K21" s="30"/>
      <c r="L21" s="30" t="str">
        <f t="shared" si="2"/>
        <v/>
      </c>
      <c r="M21" s="30" t="str">
        <f t="shared" si="3"/>
        <v/>
      </c>
      <c r="N21" s="25"/>
      <c r="O21" s="31">
        <f t="shared" si="4"/>
        <v>0</v>
      </c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 ht="12.75" customHeight="1">
      <c r="A22" s="80">
        <v>18.0</v>
      </c>
      <c r="B22" s="36"/>
      <c r="C22" s="33"/>
      <c r="D22" s="33"/>
      <c r="E22" s="35"/>
      <c r="F22" s="35"/>
      <c r="G22" s="35"/>
      <c r="H22" s="35"/>
      <c r="I22" s="35"/>
      <c r="J22" s="35" t="str">
        <f t="shared" si="1"/>
        <v/>
      </c>
      <c r="K22" s="35"/>
      <c r="L22" s="35" t="str">
        <f t="shared" si="2"/>
        <v/>
      </c>
      <c r="M22" s="35" t="str">
        <f t="shared" si="3"/>
        <v/>
      </c>
      <c r="N22" s="25"/>
      <c r="O22" s="31">
        <f t="shared" si="4"/>
        <v>0</v>
      </c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 ht="12.75" customHeight="1">
      <c r="A23" s="80">
        <v>19.0</v>
      </c>
      <c r="B23" s="36"/>
      <c r="C23" s="28"/>
      <c r="D23" s="28"/>
      <c r="E23" s="30"/>
      <c r="F23" s="30"/>
      <c r="G23" s="30"/>
      <c r="H23" s="30"/>
      <c r="I23" s="30"/>
      <c r="J23" s="30" t="str">
        <f t="shared" si="1"/>
        <v/>
      </c>
      <c r="K23" s="30"/>
      <c r="L23" s="30" t="str">
        <f t="shared" si="2"/>
        <v/>
      </c>
      <c r="M23" s="30" t="str">
        <f t="shared" si="3"/>
        <v/>
      </c>
      <c r="N23" s="25"/>
      <c r="O23" s="31">
        <f t="shared" si="4"/>
        <v>0</v>
      </c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 ht="12.75" customHeight="1">
      <c r="A24" s="80">
        <v>20.0</v>
      </c>
      <c r="B24" s="36"/>
      <c r="C24" s="28"/>
      <c r="D24" s="28"/>
      <c r="E24" s="30"/>
      <c r="F24" s="30"/>
      <c r="G24" s="30"/>
      <c r="H24" s="30"/>
      <c r="I24" s="30"/>
      <c r="J24" s="30" t="str">
        <f t="shared" si="1"/>
        <v/>
      </c>
      <c r="K24" s="30"/>
      <c r="L24" s="30" t="str">
        <f t="shared" si="2"/>
        <v/>
      </c>
      <c r="M24" s="30" t="str">
        <f t="shared" si="3"/>
        <v/>
      </c>
      <c r="N24" s="25"/>
      <c r="O24" s="31">
        <f t="shared" si="4"/>
        <v>0</v>
      </c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 ht="12.75" customHeight="1">
      <c r="A25" s="80">
        <v>21.0</v>
      </c>
      <c r="B25" s="36"/>
      <c r="C25" s="28"/>
      <c r="D25" s="28"/>
      <c r="E25" s="30"/>
      <c r="F25" s="30"/>
      <c r="G25" s="30"/>
      <c r="H25" s="30"/>
      <c r="I25" s="30"/>
      <c r="J25" s="30" t="str">
        <f t="shared" si="1"/>
        <v/>
      </c>
      <c r="K25" s="30"/>
      <c r="L25" s="30" t="str">
        <f t="shared" si="2"/>
        <v/>
      </c>
      <c r="M25" s="30" t="str">
        <f t="shared" si="3"/>
        <v/>
      </c>
      <c r="N25" s="25"/>
      <c r="O25" s="31">
        <f t="shared" si="4"/>
        <v>0</v>
      </c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 ht="12.75" customHeight="1">
      <c r="A26" s="80">
        <v>22.0</v>
      </c>
      <c r="B26" s="36"/>
      <c r="C26" s="28"/>
      <c r="D26" s="28"/>
      <c r="E26" s="30"/>
      <c r="F26" s="30"/>
      <c r="G26" s="30"/>
      <c r="H26" s="30"/>
      <c r="I26" s="30"/>
      <c r="J26" s="30" t="str">
        <f t="shared" si="1"/>
        <v/>
      </c>
      <c r="K26" s="30"/>
      <c r="L26" s="30" t="str">
        <f t="shared" si="2"/>
        <v/>
      </c>
      <c r="M26" s="30" t="str">
        <f t="shared" si="3"/>
        <v/>
      </c>
      <c r="N26" s="25"/>
      <c r="O26" s="31">
        <f t="shared" si="4"/>
        <v>0</v>
      </c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 ht="12.75" customHeight="1">
      <c r="A27" s="80">
        <v>23.0</v>
      </c>
      <c r="B27" s="36"/>
      <c r="C27" s="28"/>
      <c r="D27" s="28"/>
      <c r="E27" s="30"/>
      <c r="F27" s="30"/>
      <c r="G27" s="30"/>
      <c r="H27" s="30"/>
      <c r="I27" s="30"/>
      <c r="J27" s="30" t="str">
        <f t="shared" si="1"/>
        <v/>
      </c>
      <c r="K27" s="30"/>
      <c r="L27" s="30" t="str">
        <f t="shared" si="2"/>
        <v/>
      </c>
      <c r="M27" s="30" t="str">
        <f t="shared" si="3"/>
        <v/>
      </c>
      <c r="N27" s="25"/>
      <c r="O27" s="31">
        <f t="shared" si="4"/>
        <v>0</v>
      </c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 ht="12.75" customHeight="1">
      <c r="A28" s="55">
        <v>24.0</v>
      </c>
      <c r="B28" s="36"/>
      <c r="C28" s="28"/>
      <c r="D28" s="28"/>
      <c r="E28" s="30"/>
      <c r="F28" s="30"/>
      <c r="G28" s="30"/>
      <c r="H28" s="30"/>
      <c r="I28" s="30"/>
      <c r="J28" s="30">
        <v>54.39</v>
      </c>
      <c r="K28" s="30"/>
      <c r="L28" s="30" t="str">
        <f t="shared" si="2"/>
        <v/>
      </c>
      <c r="M28" s="30" t="str">
        <f t="shared" si="3"/>
        <v/>
      </c>
      <c r="N28" s="25"/>
      <c r="O28" s="31">
        <f t="shared" si="4"/>
        <v>0</v>
      </c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ht="12.75" customHeight="1">
      <c r="A29" s="55">
        <v>25.0</v>
      </c>
      <c r="B29" s="36"/>
      <c r="C29" s="28"/>
      <c r="D29" s="28"/>
      <c r="E29" s="30"/>
      <c r="F29" s="30"/>
      <c r="G29" s="30"/>
      <c r="H29" s="30"/>
      <c r="I29" s="30"/>
      <c r="J29" s="30" t="str">
        <f t="shared" ref="J29:J44" si="5">IF(MIN(E29:I29)&gt;0,MIN(E29:I29),IF(COUNTBLANK(E29:I29)=5,"","DNF"))</f>
        <v/>
      </c>
      <c r="K29" s="30"/>
      <c r="L29" s="30" t="str">
        <f t="shared" si="2"/>
        <v/>
      </c>
      <c r="M29" s="30" t="str">
        <f>IF(COUNTBLANK(E29:I29)&gt;0,"",IF(COUNTIF(E29:I29,"DNF")+COUNTIF(E29:I29,"DNS")&gt;1,"DNF",IF(COUNTIF(E29:I29,"DNF")+COUNTIF(E29:I29,"DNS")&gt;0,(SUM(E29:I29)-J29)/3,(SUM(E29:I29)-J29-L29)/3)))</f>
        <v/>
      </c>
      <c r="N29" s="25"/>
      <c r="O29" s="31">
        <f t="shared" si="4"/>
        <v>0</v>
      </c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 ht="12.75" customHeight="1">
      <c r="A30" s="55">
        <v>26.0</v>
      </c>
      <c r="B30" s="36"/>
      <c r="C30" s="28"/>
      <c r="D30" s="28"/>
      <c r="E30" s="30"/>
      <c r="F30" s="30"/>
      <c r="G30" s="30"/>
      <c r="H30" s="30"/>
      <c r="I30" s="30"/>
      <c r="J30" s="30" t="str">
        <f t="shared" si="5"/>
        <v/>
      </c>
      <c r="K30" s="30"/>
      <c r="L30" s="30" t="str">
        <f t="shared" si="2"/>
        <v/>
      </c>
      <c r="M30" s="30" t="str">
        <f t="shared" ref="M30:M42" si="6">IF(COUNTBLANK(E30:I30)&gt;0,"",IF(COUNTIF(E30:I30,"DNF")+COUNTIF(E30:I30,"DNS")&gt;1,"DNF",ROUND(IF(COUNTIF(E30:I30,"DNF")+COUNTIF(E30:I30,"DNS")&gt;0,(SUM(E30:I30)-J30)/3,(SUM(E30:I30)-J30-L30)/3),2)))</f>
        <v/>
      </c>
      <c r="N30" s="25"/>
      <c r="O30" s="31">
        <f t="shared" si="4"/>
        <v>0</v>
      </c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 ht="12.75" customHeight="1">
      <c r="A31" s="55">
        <v>27.0</v>
      </c>
      <c r="B31" s="36"/>
      <c r="C31" s="28"/>
      <c r="D31" s="28"/>
      <c r="E31" s="30"/>
      <c r="F31" s="30"/>
      <c r="G31" s="30"/>
      <c r="H31" s="30"/>
      <c r="I31" s="30"/>
      <c r="J31" s="30" t="str">
        <f t="shared" si="5"/>
        <v/>
      </c>
      <c r="K31" s="30"/>
      <c r="L31" s="30" t="str">
        <f t="shared" si="2"/>
        <v/>
      </c>
      <c r="M31" s="30" t="str">
        <f t="shared" si="6"/>
        <v/>
      </c>
      <c r="N31" s="25"/>
      <c r="O31" s="31">
        <f t="shared" si="4"/>
        <v>0</v>
      </c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 ht="12.75" customHeight="1">
      <c r="A32" s="55">
        <v>28.0</v>
      </c>
      <c r="B32" s="36"/>
      <c r="C32" s="28"/>
      <c r="D32" s="28"/>
      <c r="E32" s="30"/>
      <c r="F32" s="30"/>
      <c r="G32" s="30"/>
      <c r="H32" s="30"/>
      <c r="I32" s="30"/>
      <c r="J32" s="30" t="str">
        <f t="shared" si="5"/>
        <v/>
      </c>
      <c r="K32" s="30"/>
      <c r="L32" s="30" t="str">
        <f t="shared" si="2"/>
        <v/>
      </c>
      <c r="M32" s="30" t="str">
        <f t="shared" si="6"/>
        <v/>
      </c>
      <c r="N32" s="25"/>
      <c r="O32" s="31">
        <f t="shared" si="4"/>
        <v>0</v>
      </c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 ht="12.75" customHeight="1">
      <c r="A33" s="55">
        <v>29.0</v>
      </c>
      <c r="B33" s="36"/>
      <c r="C33" s="28"/>
      <c r="D33" s="28"/>
      <c r="E33" s="30"/>
      <c r="F33" s="30"/>
      <c r="G33" s="30"/>
      <c r="H33" s="30"/>
      <c r="I33" s="30"/>
      <c r="J33" s="30" t="str">
        <f t="shared" si="5"/>
        <v/>
      </c>
      <c r="K33" s="30"/>
      <c r="L33" s="30" t="str">
        <f t="shared" si="2"/>
        <v/>
      </c>
      <c r="M33" s="30" t="str">
        <f t="shared" si="6"/>
        <v/>
      </c>
      <c r="N33" s="25"/>
      <c r="O33" s="31">
        <f t="shared" si="4"/>
        <v>0</v>
      </c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ht="12.75" customHeight="1">
      <c r="A34" s="55">
        <v>30.0</v>
      </c>
      <c r="B34" s="36"/>
      <c r="C34" s="28"/>
      <c r="D34" s="28"/>
      <c r="E34" s="30"/>
      <c r="F34" s="30"/>
      <c r="G34" s="30"/>
      <c r="H34" s="30"/>
      <c r="I34" s="30"/>
      <c r="J34" s="30" t="str">
        <f t="shared" si="5"/>
        <v/>
      </c>
      <c r="K34" s="30"/>
      <c r="L34" s="30" t="str">
        <f t="shared" si="2"/>
        <v/>
      </c>
      <c r="M34" s="30" t="str">
        <f t="shared" si="6"/>
        <v/>
      </c>
      <c r="N34" s="25"/>
      <c r="O34" s="31">
        <f t="shared" si="4"/>
        <v>0</v>
      </c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 ht="12.75" customHeight="1">
      <c r="A35" s="55">
        <v>31.0</v>
      </c>
      <c r="B35" s="36"/>
      <c r="C35" s="28"/>
      <c r="D35" s="28"/>
      <c r="E35" s="30"/>
      <c r="F35" s="30"/>
      <c r="G35" s="30"/>
      <c r="H35" s="30"/>
      <c r="I35" s="30"/>
      <c r="J35" s="30" t="str">
        <f t="shared" si="5"/>
        <v/>
      </c>
      <c r="K35" s="30"/>
      <c r="L35" s="30" t="str">
        <f t="shared" si="2"/>
        <v/>
      </c>
      <c r="M35" s="30" t="str">
        <f t="shared" si="6"/>
        <v/>
      </c>
      <c r="N35" s="25"/>
      <c r="O35" s="31">
        <f t="shared" si="4"/>
        <v>0</v>
      </c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 ht="12.75" customHeight="1">
      <c r="A36" s="55">
        <v>32.0</v>
      </c>
      <c r="B36" s="36"/>
      <c r="C36" s="28"/>
      <c r="D36" s="28"/>
      <c r="E36" s="30"/>
      <c r="F36" s="30"/>
      <c r="G36" s="30"/>
      <c r="H36" s="30"/>
      <c r="I36" s="30"/>
      <c r="J36" s="30" t="str">
        <f t="shared" si="5"/>
        <v/>
      </c>
      <c r="K36" s="30"/>
      <c r="L36" s="30" t="str">
        <f t="shared" si="2"/>
        <v/>
      </c>
      <c r="M36" s="30" t="str">
        <f t="shared" si="6"/>
        <v/>
      </c>
      <c r="N36" s="25"/>
      <c r="O36" s="31">
        <f t="shared" si="4"/>
        <v>0</v>
      </c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 ht="12.75" customHeight="1">
      <c r="A37" s="55">
        <v>33.0</v>
      </c>
      <c r="B37" s="36"/>
      <c r="C37" s="28"/>
      <c r="D37" s="28"/>
      <c r="E37" s="30"/>
      <c r="F37" s="30"/>
      <c r="G37" s="30"/>
      <c r="H37" s="30"/>
      <c r="I37" s="30"/>
      <c r="J37" s="30" t="str">
        <f t="shared" si="5"/>
        <v/>
      </c>
      <c r="K37" s="30"/>
      <c r="L37" s="30" t="str">
        <f t="shared" si="2"/>
        <v/>
      </c>
      <c r="M37" s="30" t="str">
        <f t="shared" si="6"/>
        <v/>
      </c>
      <c r="N37" s="25"/>
      <c r="O37" s="31">
        <f t="shared" si="4"/>
        <v>0</v>
      </c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ht="12.75" customHeight="1">
      <c r="A38" s="55">
        <v>34.0</v>
      </c>
      <c r="B38" s="36"/>
      <c r="C38" s="28"/>
      <c r="D38" s="28"/>
      <c r="E38" s="30"/>
      <c r="F38" s="30"/>
      <c r="G38" s="30"/>
      <c r="H38" s="30"/>
      <c r="I38" s="30"/>
      <c r="J38" s="30" t="str">
        <f t="shared" si="5"/>
        <v/>
      </c>
      <c r="K38" s="30"/>
      <c r="L38" s="30" t="str">
        <f t="shared" si="2"/>
        <v/>
      </c>
      <c r="M38" s="30" t="str">
        <f t="shared" si="6"/>
        <v/>
      </c>
      <c r="N38" s="25"/>
      <c r="O38" s="31">
        <f t="shared" si="4"/>
        <v>0</v>
      </c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 ht="12.75" customHeight="1">
      <c r="A39" s="55">
        <v>35.0</v>
      </c>
      <c r="B39" s="36"/>
      <c r="C39" s="28"/>
      <c r="D39" s="28"/>
      <c r="E39" s="30"/>
      <c r="F39" s="30"/>
      <c r="G39" s="30"/>
      <c r="H39" s="30"/>
      <c r="I39" s="30"/>
      <c r="J39" s="30" t="str">
        <f t="shared" si="5"/>
        <v/>
      </c>
      <c r="K39" s="30"/>
      <c r="L39" s="30" t="str">
        <f t="shared" si="2"/>
        <v/>
      </c>
      <c r="M39" s="30" t="str">
        <f t="shared" si="6"/>
        <v/>
      </c>
      <c r="N39" s="25"/>
      <c r="O39" s="31">
        <f t="shared" si="4"/>
        <v>0</v>
      </c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 ht="12.75" customHeight="1">
      <c r="A40" s="55">
        <v>36.0</v>
      </c>
      <c r="B40" s="36"/>
      <c r="C40" s="28"/>
      <c r="D40" s="28"/>
      <c r="E40" s="30"/>
      <c r="F40" s="30"/>
      <c r="G40" s="30"/>
      <c r="H40" s="30"/>
      <c r="I40" s="30"/>
      <c r="J40" s="30" t="str">
        <f t="shared" si="5"/>
        <v/>
      </c>
      <c r="K40" s="30"/>
      <c r="L40" s="30" t="str">
        <f t="shared" si="2"/>
        <v/>
      </c>
      <c r="M40" s="30" t="str">
        <f t="shared" si="6"/>
        <v/>
      </c>
      <c r="N40" s="25"/>
      <c r="O40" s="31">
        <f t="shared" si="4"/>
        <v>0</v>
      </c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 ht="12.75" customHeight="1">
      <c r="A41" s="55">
        <v>37.0</v>
      </c>
      <c r="B41" s="36"/>
      <c r="C41" s="28"/>
      <c r="D41" s="28"/>
      <c r="E41" s="30"/>
      <c r="F41" s="30"/>
      <c r="G41" s="30"/>
      <c r="H41" s="30"/>
      <c r="I41" s="30"/>
      <c r="J41" s="30" t="str">
        <f t="shared" si="5"/>
        <v/>
      </c>
      <c r="K41" s="30"/>
      <c r="L41" s="30" t="str">
        <f t="shared" si="2"/>
        <v/>
      </c>
      <c r="M41" s="30" t="str">
        <f t="shared" si="6"/>
        <v/>
      </c>
      <c r="N41" s="25"/>
      <c r="O41" s="31">
        <f t="shared" si="4"/>
        <v>0</v>
      </c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 ht="12.75" customHeight="1">
      <c r="A42" s="55">
        <f>IF(AND(M41=M42,J41=J42),A41,ROW()-4)</f>
        <v>37</v>
      </c>
      <c r="B42" s="36"/>
      <c r="C42" s="28"/>
      <c r="D42" s="28"/>
      <c r="E42" s="30"/>
      <c r="F42" s="30"/>
      <c r="G42" s="30"/>
      <c r="H42" s="30"/>
      <c r="I42" s="30"/>
      <c r="J42" s="30" t="str">
        <f t="shared" si="5"/>
        <v/>
      </c>
      <c r="K42" s="30"/>
      <c r="L42" s="30" t="str">
        <f t="shared" si="2"/>
        <v/>
      </c>
      <c r="M42" s="30" t="str">
        <f t="shared" si="6"/>
        <v/>
      </c>
      <c r="N42" s="25"/>
      <c r="O42" s="31">
        <f t="shared" si="4"/>
        <v>0</v>
      </c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</row>
    <row r="43" ht="12.75" customHeight="1">
      <c r="A43" s="55">
        <v>15.0</v>
      </c>
      <c r="B43" s="36"/>
      <c r="E43" s="44"/>
      <c r="F43" s="44"/>
      <c r="G43" s="44"/>
      <c r="H43" s="44"/>
      <c r="I43" s="44"/>
      <c r="J43" s="44" t="str">
        <f t="shared" si="5"/>
        <v/>
      </c>
      <c r="K43" s="45"/>
      <c r="L43" s="44" t="str">
        <f t="shared" si="2"/>
        <v/>
      </c>
      <c r="M43" s="44" t="str">
        <f>IF(COUNTBLANK(E43:I43)&gt;0,"",IF(COUNTIF(E43:I43,"DNF")+COUNTIF(E43:I43,"DNS")&gt;1,"DNF",IF(COUNTIF(E43:I43,"DNF")+COUNTIF(E43:I43,"DNS")&gt;0,(SUM(E43:I43)-J43)/3,(SUM(E43:I43)-J43-L43)/3)))</f>
        <v/>
      </c>
      <c r="N43" s="25"/>
      <c r="O43" s="31">
        <f t="shared" si="4"/>
        <v>0</v>
      </c>
    </row>
    <row r="44" ht="12.75" customHeight="1">
      <c r="E44" s="35"/>
      <c r="F44" s="35"/>
      <c r="G44" s="35"/>
      <c r="H44" s="35"/>
      <c r="I44" s="35"/>
      <c r="J44" s="35" t="str">
        <f t="shared" si="5"/>
        <v/>
      </c>
      <c r="K44" s="35"/>
      <c r="L44" s="35" t="str">
        <f t="shared" si="2"/>
        <v/>
      </c>
      <c r="M44" s="35" t="str">
        <f>IF(COUNTBLANK(E44:I44)&gt;0,"",IF(COUNTIF(E44:I44,"DNF")+COUNTIF(E44:I44,"DNS")&gt;1,"DNF",ROUND(IF(COUNTIF(E44:I44,"DNF")+COUNTIF(E44:I44,"DNS")&gt;0,(SUM(E44:I44)-J44)/3,(SUM(E44:I44)-J44-L44)/3),2)))</f>
        <v/>
      </c>
      <c r="N44" s="25"/>
      <c r="O44" s="31">
        <f t="shared" si="4"/>
        <v>0</v>
      </c>
    </row>
    <row r="45" ht="12.75" customHeight="1">
      <c r="E45" s="40"/>
      <c r="F45" s="40"/>
      <c r="G45" s="40"/>
      <c r="H45" s="40"/>
      <c r="I45" s="40"/>
      <c r="J45" s="40"/>
      <c r="K45" s="40"/>
      <c r="L45" s="40"/>
      <c r="M45" s="40"/>
    </row>
    <row r="46" ht="12.75" customHeight="1">
      <c r="E46" s="40"/>
      <c r="F46" s="40"/>
      <c r="G46" s="40"/>
      <c r="H46" s="40"/>
      <c r="I46" s="40"/>
      <c r="J46" s="40"/>
      <c r="K46" s="40"/>
      <c r="L46" s="40"/>
      <c r="M46" s="40"/>
    </row>
    <row r="47" ht="12.75" customHeight="1">
      <c r="E47" s="40"/>
      <c r="F47" s="40"/>
      <c r="G47" s="40"/>
      <c r="H47" s="40"/>
      <c r="I47" s="40"/>
      <c r="J47" s="40"/>
      <c r="K47" s="40"/>
      <c r="L47" s="40"/>
      <c r="M47" s="40"/>
    </row>
    <row r="48" ht="12.75" customHeight="1">
      <c r="E48" s="40"/>
      <c r="F48" s="40"/>
      <c r="G48" s="40"/>
      <c r="H48" s="40"/>
      <c r="I48" s="40"/>
      <c r="J48" s="40"/>
      <c r="K48" s="40"/>
      <c r="L48" s="40"/>
      <c r="M48" s="40"/>
    </row>
    <row r="49" ht="12.75" customHeight="1">
      <c r="E49" s="40"/>
      <c r="F49" s="40"/>
      <c r="G49" s="40"/>
      <c r="H49" s="40"/>
      <c r="I49" s="40"/>
      <c r="J49" s="40"/>
      <c r="K49" s="40"/>
      <c r="L49" s="40"/>
      <c r="M49" s="40"/>
    </row>
    <row r="50" ht="12.75" customHeight="1">
      <c r="E50" s="40"/>
      <c r="F50" s="40"/>
      <c r="G50" s="40"/>
      <c r="H50" s="40"/>
      <c r="I50" s="40"/>
      <c r="J50" s="40"/>
      <c r="K50" s="40"/>
      <c r="L50" s="40"/>
      <c r="M50" s="40"/>
    </row>
    <row r="51" ht="12.75" customHeight="1">
      <c r="E51" s="40"/>
      <c r="F51" s="40"/>
      <c r="G51" s="40"/>
      <c r="H51" s="40"/>
      <c r="I51" s="40"/>
      <c r="J51" s="40"/>
      <c r="K51" s="40"/>
      <c r="L51" s="40"/>
      <c r="M51" s="40"/>
    </row>
    <row r="52" ht="12.75" customHeight="1">
      <c r="E52" s="40"/>
      <c r="F52" s="40"/>
      <c r="G52" s="40"/>
      <c r="H52" s="40"/>
      <c r="I52" s="40"/>
      <c r="J52" s="40"/>
      <c r="K52" s="40"/>
      <c r="L52" s="40"/>
      <c r="M52" s="40"/>
    </row>
    <row r="53" ht="12.75" customHeight="1">
      <c r="E53" s="40"/>
      <c r="F53" s="40"/>
      <c r="G53" s="40"/>
      <c r="H53" s="40"/>
      <c r="I53" s="40"/>
      <c r="J53" s="40"/>
      <c r="K53" s="40"/>
      <c r="L53" s="40"/>
      <c r="M53" s="40"/>
    </row>
    <row r="54" ht="12.75" customHeight="1">
      <c r="E54" s="40"/>
      <c r="F54" s="40"/>
      <c r="G54" s="40"/>
      <c r="H54" s="40"/>
      <c r="I54" s="40"/>
      <c r="J54" s="40"/>
      <c r="K54" s="40"/>
      <c r="L54" s="40"/>
      <c r="M54" s="40"/>
    </row>
    <row r="55" ht="12.75" customHeight="1">
      <c r="E55" s="40"/>
      <c r="F55" s="40"/>
      <c r="G55" s="40"/>
      <c r="H55" s="40"/>
      <c r="I55" s="40"/>
      <c r="J55" s="40"/>
      <c r="K55" s="40"/>
      <c r="L55" s="40"/>
      <c r="M55" s="40"/>
    </row>
    <row r="56" ht="12.75" customHeight="1">
      <c r="E56" s="40"/>
      <c r="F56" s="40"/>
      <c r="G56" s="40"/>
      <c r="H56" s="40"/>
      <c r="I56" s="40"/>
      <c r="J56" s="40"/>
      <c r="K56" s="40"/>
      <c r="L56" s="40"/>
      <c r="M56" s="40"/>
    </row>
    <row r="57" ht="12.75" customHeight="1">
      <c r="E57" s="40"/>
      <c r="F57" s="40"/>
      <c r="G57" s="40"/>
      <c r="H57" s="40"/>
      <c r="I57" s="40"/>
      <c r="J57" s="40"/>
      <c r="K57" s="40"/>
      <c r="L57" s="40"/>
      <c r="M57" s="40"/>
    </row>
    <row r="58" ht="12.75" customHeight="1">
      <c r="E58" s="40"/>
      <c r="F58" s="40"/>
      <c r="G58" s="40"/>
      <c r="H58" s="40"/>
      <c r="I58" s="40"/>
      <c r="J58" s="40"/>
      <c r="K58" s="40"/>
      <c r="L58" s="40"/>
      <c r="M58" s="40"/>
    </row>
    <row r="59" ht="12.75" customHeight="1">
      <c r="E59" s="40"/>
      <c r="F59" s="40"/>
      <c r="G59" s="40"/>
      <c r="H59" s="40"/>
      <c r="I59" s="40"/>
      <c r="J59" s="40"/>
      <c r="K59" s="40"/>
      <c r="L59" s="40"/>
      <c r="M59" s="40"/>
    </row>
    <row r="60" ht="12.75" customHeight="1">
      <c r="E60" s="40"/>
      <c r="F60" s="40"/>
      <c r="G60" s="40"/>
      <c r="H60" s="40"/>
      <c r="I60" s="40"/>
      <c r="J60" s="40"/>
      <c r="K60" s="40"/>
      <c r="L60" s="40"/>
      <c r="M60" s="40"/>
    </row>
    <row r="61" ht="12.75" customHeight="1">
      <c r="E61" s="40"/>
      <c r="F61" s="40"/>
      <c r="G61" s="40"/>
      <c r="H61" s="40"/>
      <c r="I61" s="40"/>
      <c r="J61" s="40"/>
      <c r="K61" s="40"/>
      <c r="L61" s="40"/>
      <c r="M61" s="40"/>
    </row>
    <row r="62" ht="12.75" customHeight="1">
      <c r="E62" s="40"/>
      <c r="F62" s="40"/>
      <c r="G62" s="40"/>
      <c r="H62" s="40"/>
      <c r="I62" s="40"/>
      <c r="J62" s="40"/>
      <c r="K62" s="40"/>
      <c r="L62" s="40"/>
      <c r="M62" s="40"/>
    </row>
    <row r="63" ht="12.75" customHeight="1">
      <c r="E63" s="40"/>
      <c r="F63" s="40"/>
      <c r="G63" s="40"/>
      <c r="H63" s="40"/>
      <c r="I63" s="40"/>
      <c r="J63" s="40"/>
      <c r="K63" s="40"/>
      <c r="L63" s="40"/>
      <c r="M63" s="40"/>
    </row>
    <row r="64" ht="12.75" customHeight="1">
      <c r="E64" s="40"/>
      <c r="F64" s="40"/>
      <c r="G64" s="40"/>
      <c r="H64" s="40"/>
      <c r="I64" s="40"/>
      <c r="J64" s="40"/>
      <c r="K64" s="40"/>
      <c r="L64" s="40"/>
      <c r="M64" s="40"/>
    </row>
    <row r="65" ht="12.75" customHeight="1">
      <c r="E65" s="40"/>
      <c r="F65" s="40"/>
      <c r="G65" s="40"/>
      <c r="H65" s="40"/>
      <c r="I65" s="40"/>
      <c r="J65" s="40"/>
      <c r="K65" s="40"/>
      <c r="L65" s="40"/>
      <c r="M65" s="40"/>
    </row>
    <row r="66" ht="12.75" customHeight="1">
      <c r="E66" s="40"/>
      <c r="F66" s="40"/>
      <c r="G66" s="40"/>
      <c r="H66" s="40"/>
      <c r="I66" s="40"/>
      <c r="J66" s="40"/>
      <c r="K66" s="40"/>
      <c r="L66" s="40"/>
      <c r="M66" s="40"/>
    </row>
    <row r="67" ht="12.75" customHeight="1">
      <c r="E67" s="40"/>
      <c r="F67" s="40"/>
      <c r="G67" s="40"/>
      <c r="H67" s="40"/>
      <c r="I67" s="40"/>
      <c r="J67" s="40"/>
      <c r="K67" s="40"/>
      <c r="L67" s="40"/>
      <c r="M67" s="40"/>
    </row>
    <row r="68" ht="12.75" customHeight="1">
      <c r="E68" s="40"/>
      <c r="F68" s="40"/>
      <c r="G68" s="40"/>
      <c r="H68" s="40"/>
      <c r="I68" s="40"/>
      <c r="J68" s="40"/>
      <c r="K68" s="40"/>
      <c r="L68" s="40"/>
      <c r="M68" s="40"/>
    </row>
    <row r="69" ht="12.75" customHeight="1">
      <c r="E69" s="40"/>
      <c r="F69" s="40"/>
      <c r="G69" s="40"/>
      <c r="H69" s="40"/>
      <c r="I69" s="40"/>
      <c r="J69" s="40"/>
      <c r="K69" s="40"/>
      <c r="L69" s="40"/>
      <c r="M69" s="40"/>
    </row>
    <row r="70" ht="12.75" customHeight="1">
      <c r="E70" s="40"/>
      <c r="F70" s="40"/>
      <c r="G70" s="40"/>
      <c r="H70" s="40"/>
      <c r="I70" s="40"/>
      <c r="J70" s="40"/>
      <c r="K70" s="40"/>
      <c r="L70" s="40"/>
      <c r="M70" s="40"/>
    </row>
    <row r="71" ht="12.75" customHeight="1">
      <c r="E71" s="40"/>
      <c r="F71" s="40"/>
      <c r="G71" s="40"/>
      <c r="H71" s="40"/>
      <c r="I71" s="40"/>
      <c r="J71" s="40"/>
      <c r="K71" s="40"/>
      <c r="L71" s="40"/>
      <c r="M71" s="40"/>
    </row>
    <row r="72" ht="12.75" customHeight="1">
      <c r="E72" s="40"/>
      <c r="F72" s="40"/>
      <c r="G72" s="40"/>
      <c r="H72" s="40"/>
      <c r="I72" s="40"/>
      <c r="J72" s="40"/>
      <c r="K72" s="40"/>
      <c r="L72" s="40"/>
      <c r="M72" s="40"/>
    </row>
    <row r="73" ht="12.75" customHeight="1">
      <c r="E73" s="40"/>
      <c r="F73" s="40"/>
      <c r="G73" s="40"/>
      <c r="H73" s="40"/>
      <c r="I73" s="40"/>
      <c r="J73" s="40"/>
      <c r="K73" s="40"/>
      <c r="L73" s="40"/>
      <c r="M73" s="40"/>
    </row>
    <row r="74" ht="12.75" customHeight="1">
      <c r="E74" s="40"/>
      <c r="F74" s="40"/>
      <c r="G74" s="40"/>
      <c r="H74" s="40"/>
      <c r="I74" s="40"/>
      <c r="J74" s="40"/>
      <c r="K74" s="40"/>
      <c r="L74" s="40"/>
      <c r="M74" s="40"/>
    </row>
    <row r="75" ht="12.75" customHeight="1">
      <c r="E75" s="40"/>
      <c r="F75" s="40"/>
      <c r="G75" s="40"/>
      <c r="H75" s="40"/>
      <c r="I75" s="40"/>
      <c r="J75" s="40"/>
      <c r="K75" s="40"/>
      <c r="L75" s="40"/>
      <c r="M75" s="40"/>
    </row>
    <row r="76" ht="12.75" customHeight="1">
      <c r="E76" s="40"/>
      <c r="F76" s="40"/>
      <c r="G76" s="40"/>
      <c r="H76" s="40"/>
      <c r="I76" s="40"/>
      <c r="J76" s="40"/>
      <c r="K76" s="40"/>
      <c r="L76" s="40"/>
      <c r="M76" s="40"/>
    </row>
    <row r="77" ht="12.75" customHeight="1">
      <c r="E77" s="40"/>
      <c r="F77" s="40"/>
      <c r="G77" s="40"/>
      <c r="H77" s="40"/>
      <c r="I77" s="40"/>
      <c r="J77" s="40"/>
      <c r="K77" s="40"/>
      <c r="L77" s="40"/>
      <c r="M77" s="40"/>
    </row>
    <row r="78" ht="12.75" customHeight="1">
      <c r="E78" s="40"/>
      <c r="F78" s="40"/>
      <c r="G78" s="40"/>
      <c r="H78" s="40"/>
      <c r="I78" s="40"/>
      <c r="J78" s="40"/>
      <c r="K78" s="40"/>
      <c r="L78" s="40"/>
      <c r="M78" s="40"/>
    </row>
    <row r="79" ht="12.75" customHeight="1">
      <c r="E79" s="40"/>
      <c r="F79" s="40"/>
      <c r="G79" s="40"/>
      <c r="H79" s="40"/>
      <c r="I79" s="40"/>
      <c r="J79" s="40"/>
      <c r="K79" s="40"/>
      <c r="L79" s="40"/>
      <c r="M79" s="40"/>
    </row>
    <row r="80" ht="12.75" customHeight="1">
      <c r="E80" s="40"/>
      <c r="F80" s="40"/>
      <c r="G80" s="40"/>
      <c r="H80" s="40"/>
      <c r="I80" s="40"/>
      <c r="J80" s="40"/>
      <c r="K80" s="40"/>
      <c r="L80" s="40"/>
      <c r="M80" s="40"/>
    </row>
    <row r="81" ht="12.75" customHeight="1">
      <c r="E81" s="40"/>
      <c r="F81" s="40"/>
      <c r="G81" s="40"/>
      <c r="H81" s="40"/>
      <c r="I81" s="40"/>
      <c r="J81" s="40"/>
      <c r="K81" s="40"/>
      <c r="L81" s="40"/>
      <c r="M81" s="40"/>
    </row>
    <row r="82" ht="12.75" customHeight="1">
      <c r="E82" s="40"/>
      <c r="F82" s="40"/>
      <c r="G82" s="40"/>
      <c r="H82" s="40"/>
      <c r="I82" s="40"/>
      <c r="J82" s="40"/>
      <c r="K82" s="40"/>
      <c r="L82" s="40"/>
      <c r="M82" s="40"/>
    </row>
    <row r="83" ht="12.75" customHeight="1">
      <c r="E83" s="40"/>
      <c r="F83" s="40"/>
      <c r="G83" s="40"/>
      <c r="H83" s="40"/>
      <c r="I83" s="40"/>
      <c r="J83" s="40"/>
      <c r="K83" s="40"/>
      <c r="L83" s="40"/>
      <c r="M83" s="40"/>
    </row>
    <row r="84" ht="12.75" customHeight="1">
      <c r="E84" s="40"/>
      <c r="F84" s="40"/>
      <c r="G84" s="40"/>
      <c r="H84" s="40"/>
      <c r="I84" s="40"/>
      <c r="J84" s="40"/>
      <c r="K84" s="40"/>
      <c r="L84" s="40"/>
      <c r="M84" s="40"/>
    </row>
    <row r="85" ht="12.75" customHeight="1">
      <c r="E85" s="40"/>
      <c r="F85" s="40"/>
      <c r="G85" s="40"/>
      <c r="H85" s="40"/>
      <c r="I85" s="40"/>
      <c r="J85" s="40"/>
      <c r="K85" s="40"/>
      <c r="L85" s="40"/>
      <c r="M85" s="40"/>
    </row>
    <row r="86" ht="12.75" customHeight="1">
      <c r="E86" s="40"/>
      <c r="F86" s="40"/>
      <c r="G86" s="40"/>
      <c r="H86" s="40"/>
      <c r="I86" s="40"/>
      <c r="J86" s="40"/>
      <c r="K86" s="40"/>
      <c r="L86" s="40"/>
      <c r="M86" s="40"/>
    </row>
    <row r="87" ht="12.75" customHeight="1">
      <c r="E87" s="40"/>
      <c r="F87" s="40"/>
      <c r="G87" s="40"/>
      <c r="H87" s="40"/>
      <c r="I87" s="40"/>
      <c r="J87" s="40"/>
      <c r="K87" s="40"/>
      <c r="L87" s="40"/>
      <c r="M87" s="40"/>
    </row>
    <row r="88" ht="12.75" customHeight="1">
      <c r="E88" s="40"/>
      <c r="F88" s="40"/>
      <c r="G88" s="40"/>
      <c r="H88" s="40"/>
      <c r="I88" s="40"/>
      <c r="J88" s="40"/>
      <c r="K88" s="40"/>
      <c r="L88" s="40"/>
      <c r="M88" s="40"/>
    </row>
    <row r="89" ht="12.75" customHeight="1">
      <c r="E89" s="40"/>
      <c r="F89" s="40"/>
      <c r="G89" s="40"/>
      <c r="H89" s="40"/>
      <c r="I89" s="40"/>
      <c r="J89" s="40"/>
      <c r="K89" s="40"/>
      <c r="L89" s="40"/>
      <c r="M89" s="40"/>
    </row>
    <row r="90" ht="12.75" customHeight="1">
      <c r="E90" s="40"/>
      <c r="F90" s="40"/>
      <c r="G90" s="40"/>
      <c r="H90" s="40"/>
      <c r="I90" s="40"/>
      <c r="J90" s="40"/>
      <c r="K90" s="40"/>
      <c r="L90" s="40"/>
      <c r="M90" s="40"/>
    </row>
    <row r="91" ht="12.75" customHeight="1">
      <c r="E91" s="40"/>
      <c r="F91" s="40"/>
      <c r="G91" s="40"/>
      <c r="H91" s="40"/>
      <c r="I91" s="40"/>
      <c r="J91" s="40"/>
      <c r="K91" s="40"/>
      <c r="L91" s="40"/>
      <c r="M91" s="40"/>
    </row>
    <row r="92" ht="12.75" customHeight="1">
      <c r="E92" s="40"/>
      <c r="F92" s="40"/>
      <c r="G92" s="40"/>
      <c r="H92" s="40"/>
      <c r="I92" s="40"/>
      <c r="J92" s="40"/>
      <c r="K92" s="40"/>
      <c r="L92" s="40"/>
      <c r="M92" s="40"/>
    </row>
    <row r="93" ht="12.75" customHeight="1">
      <c r="E93" s="40"/>
      <c r="F93" s="40"/>
      <c r="G93" s="40"/>
      <c r="H93" s="40"/>
      <c r="I93" s="40"/>
      <c r="J93" s="40"/>
      <c r="K93" s="40"/>
      <c r="L93" s="40"/>
      <c r="M93" s="40"/>
    </row>
    <row r="94" ht="12.75" customHeight="1">
      <c r="E94" s="40"/>
      <c r="F94" s="40"/>
      <c r="G94" s="40"/>
      <c r="H94" s="40"/>
      <c r="I94" s="40"/>
      <c r="J94" s="40"/>
      <c r="K94" s="40"/>
      <c r="L94" s="40"/>
      <c r="M94" s="40"/>
    </row>
    <row r="95" ht="12.75" customHeight="1">
      <c r="E95" s="40"/>
      <c r="F95" s="40"/>
      <c r="G95" s="40"/>
      <c r="H95" s="40"/>
      <c r="I95" s="40"/>
      <c r="J95" s="40"/>
      <c r="K95" s="40"/>
      <c r="L95" s="40"/>
      <c r="M95" s="40"/>
    </row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" footer="0.0" header="0.0" left="0.75" right="0.75" top="1.0"/>
  <pageSetup paperSize="9"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5.38"/>
    <col customWidth="1" min="2" max="2" width="38.25"/>
    <col customWidth="1" hidden="1" min="3" max="3" width="14.13"/>
    <col customWidth="1" hidden="1" min="4" max="4" width="19.13"/>
    <col customWidth="1" hidden="1" min="5" max="5" width="14.13"/>
    <col customWidth="1" hidden="1" min="6" max="7" width="10.63"/>
    <col customWidth="1" hidden="1" min="8" max="8" width="9.88"/>
    <col customWidth="1" hidden="1" min="9" max="9" width="11.88"/>
    <col customWidth="1" hidden="1" min="10" max="10" width="14.0"/>
    <col customWidth="1" hidden="1" min="11" max="11" width="8.13"/>
    <col customWidth="1" hidden="1" min="12" max="12" width="16.13"/>
    <col customWidth="1" min="13" max="13" width="13.63"/>
    <col customWidth="1" hidden="1" min="14" max="14" width="6.88"/>
    <col customWidth="1" min="15" max="15" width="25.38"/>
    <col customWidth="1" min="16" max="26" width="9.13"/>
  </cols>
  <sheetData>
    <row r="1" ht="12.75" customHeight="1">
      <c r="A1" s="78" t="s">
        <v>146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 ht="12.75" customHeight="1">
      <c r="A2" s="19" t="s">
        <v>28</v>
      </c>
      <c r="B2" s="19"/>
      <c r="C2" s="19"/>
      <c r="D2" s="19"/>
      <c r="E2" s="19"/>
      <c r="F2" s="20"/>
      <c r="K2" s="19"/>
      <c r="L2" s="19"/>
    </row>
    <row r="3" ht="12.75" customHeight="1">
      <c r="A3" s="19" t="s">
        <v>29</v>
      </c>
      <c r="B3" s="19"/>
      <c r="K3" s="19"/>
      <c r="L3" s="19"/>
    </row>
    <row r="4" ht="12.75" customHeight="1">
      <c r="A4" s="21" t="s">
        <v>30</v>
      </c>
      <c r="B4" s="21"/>
      <c r="C4" s="21"/>
      <c r="D4" s="21"/>
      <c r="E4" s="22"/>
      <c r="F4" s="22"/>
      <c r="G4" s="22"/>
      <c r="H4" s="22"/>
      <c r="I4" s="22"/>
      <c r="J4" s="22" t="s">
        <v>31</v>
      </c>
      <c r="K4" s="23" t="s">
        <v>32</v>
      </c>
      <c r="L4" s="22" t="s">
        <v>33</v>
      </c>
      <c r="M4" s="22" t="s">
        <v>34</v>
      </c>
      <c r="N4" s="18" t="s">
        <v>32</v>
      </c>
      <c r="O4" s="24" t="s">
        <v>35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 ht="12.75" customHeight="1">
      <c r="A5" s="80">
        <v>5.0</v>
      </c>
      <c r="B5" s="27" t="s">
        <v>53</v>
      </c>
      <c r="C5" s="33"/>
      <c r="D5" s="33"/>
      <c r="E5" s="29">
        <v>13.22</v>
      </c>
      <c r="F5" s="29">
        <v>12.4</v>
      </c>
      <c r="G5" s="29">
        <v>19.52</v>
      </c>
      <c r="H5" s="29">
        <v>15.81</v>
      </c>
      <c r="I5" s="29">
        <v>11.67</v>
      </c>
      <c r="J5" s="30">
        <f t="shared" ref="J5:J27" si="1">IF(MIN(E5:I5)&gt;0,MIN(E5:I5),IF(COUNTBLANK(E5:I5)=5,"","DNF"))</f>
        <v>11.67</v>
      </c>
      <c r="K5" s="30"/>
      <c r="L5" s="30">
        <f t="shared" ref="L5:L44" si="2">IF(COUNTBLANK(E5:I5)&gt;0,"",IF(COUNTIF(E5:I5,"DNF")+COUNTIF(E5:I5,"DNS")&gt;0,"DNF",MAX(E5:I5)))</f>
        <v>19.52</v>
      </c>
      <c r="M5" s="30">
        <f t="shared" ref="M5:M28" si="3">IF(COUNTBLANK(E5:I5)&gt;0,"",IF(COUNTIF(E5:I5,"DNF")+COUNTIF(E5:I5,"DNS")&gt;1,"DNF",ROUND(IF(COUNTIF(E5:I5,"DNF")+COUNTIF(E5:I5,"DNS")&gt;0,(SUM(E5:I5)-J5)/3,(SUM(E5:I5)-J5-L5)/3),2)))</f>
        <v>13.81</v>
      </c>
      <c r="N5" s="25"/>
      <c r="O5" s="31">
        <f t="shared" ref="O5:O44" si="4">M5/86400</f>
        <v>0.000159837963</v>
      </c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</row>
    <row r="6" ht="12.75" customHeight="1">
      <c r="A6" s="80">
        <v>6.0</v>
      </c>
      <c r="B6" s="27" t="s">
        <v>75</v>
      </c>
      <c r="C6" s="33"/>
      <c r="D6" s="33"/>
      <c r="E6" s="29">
        <v>15.53</v>
      </c>
      <c r="F6" s="29">
        <v>12.68</v>
      </c>
      <c r="G6" s="29">
        <v>15.98</v>
      </c>
      <c r="H6" s="29">
        <v>12.3</v>
      </c>
      <c r="I6" s="29">
        <v>14.46</v>
      </c>
      <c r="J6" s="30">
        <f t="shared" si="1"/>
        <v>12.3</v>
      </c>
      <c r="K6" s="30"/>
      <c r="L6" s="30">
        <f t="shared" si="2"/>
        <v>15.98</v>
      </c>
      <c r="M6" s="30">
        <f t="shared" si="3"/>
        <v>14.22</v>
      </c>
      <c r="N6" s="25"/>
      <c r="O6" s="31">
        <f t="shared" si="4"/>
        <v>0.0001645833333</v>
      </c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</row>
    <row r="7" ht="12.75" customHeight="1">
      <c r="A7" s="80">
        <v>10.0</v>
      </c>
      <c r="B7" s="27" t="s">
        <v>45</v>
      </c>
      <c r="C7" s="28"/>
      <c r="D7" s="28"/>
      <c r="E7" s="29">
        <v>15.08</v>
      </c>
      <c r="F7" s="29">
        <v>14.0</v>
      </c>
      <c r="G7" s="29">
        <v>15.84</v>
      </c>
      <c r="H7" s="29">
        <v>15.11</v>
      </c>
      <c r="I7" s="29">
        <v>12.06</v>
      </c>
      <c r="J7" s="30">
        <f t="shared" si="1"/>
        <v>12.06</v>
      </c>
      <c r="K7" s="30"/>
      <c r="L7" s="30">
        <f t="shared" si="2"/>
        <v>15.84</v>
      </c>
      <c r="M7" s="30">
        <f t="shared" si="3"/>
        <v>14.73</v>
      </c>
      <c r="N7" s="25"/>
      <c r="O7" s="31">
        <f t="shared" si="4"/>
        <v>0.0001704861111</v>
      </c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</row>
    <row r="8" ht="12.75" customHeight="1">
      <c r="A8" s="80">
        <v>9.0</v>
      </c>
      <c r="B8" s="27" t="s">
        <v>42</v>
      </c>
      <c r="C8" s="28"/>
      <c r="D8" s="28"/>
      <c r="E8" s="29">
        <v>15.95</v>
      </c>
      <c r="F8" s="29">
        <v>12.74</v>
      </c>
      <c r="G8" s="29">
        <v>15.82</v>
      </c>
      <c r="H8" s="29">
        <v>12.59</v>
      </c>
      <c r="I8" s="29">
        <v>16.92</v>
      </c>
      <c r="J8" s="30">
        <f t="shared" si="1"/>
        <v>12.59</v>
      </c>
      <c r="K8" s="30"/>
      <c r="L8" s="30">
        <f t="shared" si="2"/>
        <v>16.92</v>
      </c>
      <c r="M8" s="30">
        <f t="shared" si="3"/>
        <v>14.84</v>
      </c>
      <c r="N8" s="25"/>
      <c r="O8" s="31">
        <f t="shared" si="4"/>
        <v>0.0001717592593</v>
      </c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</row>
    <row r="9" ht="12.75" customHeight="1">
      <c r="A9" s="80">
        <v>4.0</v>
      </c>
      <c r="B9" s="27" t="s">
        <v>50</v>
      </c>
      <c r="C9" s="28"/>
      <c r="D9" s="28"/>
      <c r="E9" s="81">
        <v>14.66</v>
      </c>
      <c r="F9" s="29">
        <v>15.16</v>
      </c>
      <c r="G9" s="29">
        <v>15.27</v>
      </c>
      <c r="H9" s="29">
        <v>15.98</v>
      </c>
      <c r="I9" s="29">
        <v>14.92</v>
      </c>
      <c r="J9" s="30">
        <f t="shared" si="1"/>
        <v>14.66</v>
      </c>
      <c r="K9" s="30"/>
      <c r="L9" s="30">
        <f t="shared" si="2"/>
        <v>15.98</v>
      </c>
      <c r="M9" s="30">
        <f t="shared" si="3"/>
        <v>15.12</v>
      </c>
      <c r="N9" s="25"/>
      <c r="O9" s="31">
        <f t="shared" si="4"/>
        <v>0.000175</v>
      </c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 ht="12.75" customHeight="1">
      <c r="A10" s="80">
        <v>8.0</v>
      </c>
      <c r="B10" s="27" t="s">
        <v>72</v>
      </c>
      <c r="C10" s="28"/>
      <c r="D10" s="28"/>
      <c r="E10" s="29">
        <v>13.54</v>
      </c>
      <c r="F10" s="29">
        <v>18.38</v>
      </c>
      <c r="G10" s="29">
        <v>15.92</v>
      </c>
      <c r="H10" s="29">
        <v>17.6</v>
      </c>
      <c r="I10" s="29">
        <v>13.52</v>
      </c>
      <c r="J10" s="30">
        <f t="shared" si="1"/>
        <v>13.52</v>
      </c>
      <c r="K10" s="30"/>
      <c r="L10" s="30">
        <f t="shared" si="2"/>
        <v>18.38</v>
      </c>
      <c r="M10" s="30">
        <f t="shared" si="3"/>
        <v>15.69</v>
      </c>
      <c r="N10" s="25"/>
      <c r="O10" s="31">
        <f t="shared" si="4"/>
        <v>0.0001815972222</v>
      </c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 ht="12.75" customHeight="1">
      <c r="A11" s="80">
        <v>7.0</v>
      </c>
      <c r="B11" s="27" t="s">
        <v>40</v>
      </c>
      <c r="C11" s="28"/>
      <c r="D11" s="28"/>
      <c r="E11" s="29">
        <v>19.22</v>
      </c>
      <c r="F11" s="29">
        <v>20.4</v>
      </c>
      <c r="G11" s="29">
        <v>18.04</v>
      </c>
      <c r="H11" s="29">
        <v>15.72</v>
      </c>
      <c r="I11" s="29" t="s">
        <v>139</v>
      </c>
      <c r="J11" s="30">
        <f t="shared" si="1"/>
        <v>15.72</v>
      </c>
      <c r="K11" s="30"/>
      <c r="L11" s="30" t="str">
        <f t="shared" si="2"/>
        <v>DNF</v>
      </c>
      <c r="M11" s="30">
        <f t="shared" si="3"/>
        <v>19.22</v>
      </c>
      <c r="N11" s="25"/>
      <c r="O11" s="31">
        <f t="shared" si="4"/>
        <v>0.0002224537037</v>
      </c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 ht="12.75" customHeight="1">
      <c r="A12" s="80">
        <v>1.0</v>
      </c>
      <c r="B12" s="27"/>
      <c r="C12" s="33"/>
      <c r="D12" s="33"/>
      <c r="E12" s="29"/>
      <c r="F12" s="29"/>
      <c r="G12" s="29"/>
      <c r="H12" s="29"/>
      <c r="I12" s="29"/>
      <c r="J12" s="30" t="str">
        <f t="shared" si="1"/>
        <v/>
      </c>
      <c r="K12" s="30"/>
      <c r="L12" s="30" t="str">
        <f t="shared" si="2"/>
        <v/>
      </c>
      <c r="M12" s="30" t="str">
        <f t="shared" si="3"/>
        <v/>
      </c>
      <c r="N12" s="25"/>
      <c r="O12" s="31">
        <f t="shared" si="4"/>
        <v>0</v>
      </c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 ht="12.75" customHeight="1">
      <c r="A13" s="80">
        <v>2.0</v>
      </c>
      <c r="B13" s="27"/>
      <c r="C13" s="28"/>
      <c r="D13" s="28"/>
      <c r="E13" s="29"/>
      <c r="F13" s="29"/>
      <c r="G13" s="29"/>
      <c r="H13" s="29"/>
      <c r="I13" s="29"/>
      <c r="J13" s="30" t="str">
        <f t="shared" si="1"/>
        <v/>
      </c>
      <c r="K13" s="30"/>
      <c r="L13" s="30" t="str">
        <f t="shared" si="2"/>
        <v/>
      </c>
      <c r="M13" s="30" t="str">
        <f t="shared" si="3"/>
        <v/>
      </c>
      <c r="N13" s="25"/>
      <c r="O13" s="31">
        <f t="shared" si="4"/>
        <v>0</v>
      </c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 ht="12.75" customHeight="1">
      <c r="A14" s="80">
        <v>3.0</v>
      </c>
      <c r="B14" s="27"/>
      <c r="C14" s="41"/>
      <c r="D14" s="41"/>
      <c r="E14" s="29"/>
      <c r="F14" s="29"/>
      <c r="G14" s="29"/>
      <c r="H14" s="29"/>
      <c r="I14" s="29"/>
      <c r="J14" s="30" t="str">
        <f t="shared" si="1"/>
        <v/>
      </c>
      <c r="K14" s="30"/>
      <c r="L14" s="30" t="str">
        <f t="shared" si="2"/>
        <v/>
      </c>
      <c r="M14" s="30" t="str">
        <f t="shared" si="3"/>
        <v/>
      </c>
      <c r="N14" s="25"/>
      <c r="O14" s="31">
        <f t="shared" si="4"/>
        <v>0</v>
      </c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ht="12.75" customHeight="1">
      <c r="A15" s="80">
        <v>11.0</v>
      </c>
      <c r="B15" s="36"/>
      <c r="C15" s="28"/>
      <c r="D15" s="28"/>
      <c r="E15" s="30"/>
      <c r="F15" s="30"/>
      <c r="G15" s="30"/>
      <c r="H15" s="30"/>
      <c r="I15" s="30"/>
      <c r="J15" s="30" t="str">
        <f t="shared" si="1"/>
        <v/>
      </c>
      <c r="K15" s="30"/>
      <c r="L15" s="30" t="str">
        <f t="shared" si="2"/>
        <v/>
      </c>
      <c r="M15" s="30" t="str">
        <f t="shared" si="3"/>
        <v/>
      </c>
      <c r="N15" s="25"/>
      <c r="O15" s="31">
        <f t="shared" si="4"/>
        <v>0</v>
      </c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ht="12.75" customHeight="1">
      <c r="A16" s="55">
        <v>12.0</v>
      </c>
      <c r="B16" s="36"/>
      <c r="C16" s="28"/>
      <c r="D16" s="28"/>
      <c r="E16" s="30"/>
      <c r="F16" s="30"/>
      <c r="G16" s="30"/>
      <c r="H16" s="30"/>
      <c r="I16" s="30"/>
      <c r="J16" s="30" t="str">
        <f t="shared" si="1"/>
        <v/>
      </c>
      <c r="K16" s="30"/>
      <c r="L16" s="30" t="str">
        <f t="shared" si="2"/>
        <v/>
      </c>
      <c r="M16" s="30" t="str">
        <f t="shared" si="3"/>
        <v/>
      </c>
      <c r="N16" s="25"/>
      <c r="O16" s="31">
        <f t="shared" si="4"/>
        <v>0</v>
      </c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 ht="12.75" customHeight="1">
      <c r="A17" s="55">
        <v>13.0</v>
      </c>
      <c r="B17" s="36"/>
      <c r="C17" s="28"/>
      <c r="D17" s="28"/>
      <c r="E17" s="30"/>
      <c r="F17" s="30"/>
      <c r="G17" s="30"/>
      <c r="H17" s="30"/>
      <c r="I17" s="30"/>
      <c r="J17" s="30" t="str">
        <f t="shared" si="1"/>
        <v/>
      </c>
      <c r="K17" s="30"/>
      <c r="L17" s="30" t="str">
        <f t="shared" si="2"/>
        <v/>
      </c>
      <c r="M17" s="30" t="str">
        <f t="shared" si="3"/>
        <v/>
      </c>
      <c r="N17" s="25"/>
      <c r="O17" s="31">
        <f t="shared" si="4"/>
        <v>0</v>
      </c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 ht="12.75" customHeight="1">
      <c r="A18" s="55">
        <v>14.0</v>
      </c>
      <c r="B18" s="36"/>
      <c r="C18" s="28"/>
      <c r="D18" s="28"/>
      <c r="E18" s="30"/>
      <c r="F18" s="30"/>
      <c r="G18" s="30"/>
      <c r="H18" s="30"/>
      <c r="I18" s="30"/>
      <c r="J18" s="30" t="str">
        <f t="shared" si="1"/>
        <v/>
      </c>
      <c r="K18" s="30"/>
      <c r="L18" s="30" t="str">
        <f t="shared" si="2"/>
        <v/>
      </c>
      <c r="M18" s="30" t="str">
        <f t="shared" si="3"/>
        <v/>
      </c>
      <c r="N18" s="25"/>
      <c r="O18" s="31">
        <f t="shared" si="4"/>
        <v>0</v>
      </c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 ht="12.75" customHeight="1">
      <c r="A19" s="55">
        <v>15.0</v>
      </c>
      <c r="B19" s="36"/>
      <c r="C19" s="28"/>
      <c r="D19" s="28"/>
      <c r="E19" s="30"/>
      <c r="F19" s="30"/>
      <c r="G19" s="30"/>
      <c r="H19" s="30"/>
      <c r="I19" s="30"/>
      <c r="J19" s="30" t="str">
        <f t="shared" si="1"/>
        <v/>
      </c>
      <c r="K19" s="30"/>
      <c r="L19" s="30" t="str">
        <f t="shared" si="2"/>
        <v/>
      </c>
      <c r="M19" s="30" t="str">
        <f t="shared" si="3"/>
        <v/>
      </c>
      <c r="N19" s="25"/>
      <c r="O19" s="31">
        <f t="shared" si="4"/>
        <v>0</v>
      </c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 ht="12.75" customHeight="1">
      <c r="A20" s="55">
        <v>16.0</v>
      </c>
      <c r="B20" s="36"/>
      <c r="C20" s="28"/>
      <c r="D20" s="28"/>
      <c r="E20" s="30"/>
      <c r="F20" s="30"/>
      <c r="G20" s="30"/>
      <c r="H20" s="30"/>
      <c r="I20" s="30"/>
      <c r="J20" s="30" t="str">
        <f t="shared" si="1"/>
        <v/>
      </c>
      <c r="K20" s="30"/>
      <c r="L20" s="30" t="str">
        <f t="shared" si="2"/>
        <v/>
      </c>
      <c r="M20" s="30" t="str">
        <f t="shared" si="3"/>
        <v/>
      </c>
      <c r="N20" s="25"/>
      <c r="O20" s="31">
        <f t="shared" si="4"/>
        <v>0</v>
      </c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 ht="12.75" customHeight="1">
      <c r="A21" s="55">
        <v>17.0</v>
      </c>
      <c r="B21" s="36"/>
      <c r="C21" s="28"/>
      <c r="D21" s="28"/>
      <c r="E21" s="30"/>
      <c r="F21" s="30"/>
      <c r="G21" s="30"/>
      <c r="H21" s="30"/>
      <c r="I21" s="30"/>
      <c r="J21" s="30" t="str">
        <f t="shared" si="1"/>
        <v/>
      </c>
      <c r="K21" s="30"/>
      <c r="L21" s="30" t="str">
        <f t="shared" si="2"/>
        <v/>
      </c>
      <c r="M21" s="30" t="str">
        <f t="shared" si="3"/>
        <v/>
      </c>
      <c r="N21" s="25"/>
      <c r="O21" s="31">
        <f t="shared" si="4"/>
        <v>0</v>
      </c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 ht="12.75" customHeight="1">
      <c r="A22" s="55">
        <v>18.0</v>
      </c>
      <c r="B22" s="36"/>
      <c r="C22" s="33"/>
      <c r="D22" s="33"/>
      <c r="E22" s="35"/>
      <c r="F22" s="35"/>
      <c r="G22" s="35"/>
      <c r="H22" s="35"/>
      <c r="I22" s="35"/>
      <c r="J22" s="35" t="str">
        <f t="shared" si="1"/>
        <v/>
      </c>
      <c r="K22" s="35"/>
      <c r="L22" s="35" t="str">
        <f t="shared" si="2"/>
        <v/>
      </c>
      <c r="M22" s="35" t="str">
        <f t="shared" si="3"/>
        <v/>
      </c>
      <c r="N22" s="25"/>
      <c r="O22" s="31">
        <f t="shared" si="4"/>
        <v>0</v>
      </c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 ht="12.75" customHeight="1">
      <c r="A23" s="55">
        <v>19.0</v>
      </c>
      <c r="B23" s="36"/>
      <c r="C23" s="28"/>
      <c r="D23" s="28"/>
      <c r="E23" s="30"/>
      <c r="F23" s="30"/>
      <c r="G23" s="30"/>
      <c r="H23" s="30"/>
      <c r="I23" s="30"/>
      <c r="J23" s="30" t="str">
        <f t="shared" si="1"/>
        <v/>
      </c>
      <c r="K23" s="30"/>
      <c r="L23" s="30" t="str">
        <f t="shared" si="2"/>
        <v/>
      </c>
      <c r="M23" s="30" t="str">
        <f t="shared" si="3"/>
        <v/>
      </c>
      <c r="N23" s="25"/>
      <c r="O23" s="31">
        <f t="shared" si="4"/>
        <v>0</v>
      </c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 ht="12.75" customHeight="1">
      <c r="A24" s="55">
        <v>20.0</v>
      </c>
      <c r="B24" s="36"/>
      <c r="C24" s="28"/>
      <c r="D24" s="28"/>
      <c r="E24" s="30"/>
      <c r="F24" s="30"/>
      <c r="G24" s="30"/>
      <c r="H24" s="30"/>
      <c r="I24" s="30"/>
      <c r="J24" s="30" t="str">
        <f t="shared" si="1"/>
        <v/>
      </c>
      <c r="K24" s="30"/>
      <c r="L24" s="30" t="str">
        <f t="shared" si="2"/>
        <v/>
      </c>
      <c r="M24" s="30" t="str">
        <f t="shared" si="3"/>
        <v/>
      </c>
      <c r="N24" s="25"/>
      <c r="O24" s="31">
        <f t="shared" si="4"/>
        <v>0</v>
      </c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 ht="12.75" customHeight="1">
      <c r="A25" s="55">
        <v>21.0</v>
      </c>
      <c r="B25" s="36"/>
      <c r="C25" s="28"/>
      <c r="D25" s="28"/>
      <c r="E25" s="30"/>
      <c r="F25" s="30"/>
      <c r="G25" s="30"/>
      <c r="H25" s="30"/>
      <c r="I25" s="30"/>
      <c r="J25" s="30" t="str">
        <f t="shared" si="1"/>
        <v/>
      </c>
      <c r="K25" s="30"/>
      <c r="L25" s="30" t="str">
        <f t="shared" si="2"/>
        <v/>
      </c>
      <c r="M25" s="30" t="str">
        <f t="shared" si="3"/>
        <v/>
      </c>
      <c r="N25" s="25"/>
      <c r="O25" s="31">
        <f t="shared" si="4"/>
        <v>0</v>
      </c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 ht="12.75" customHeight="1">
      <c r="A26" s="55">
        <v>22.0</v>
      </c>
      <c r="B26" s="36"/>
      <c r="C26" s="28"/>
      <c r="D26" s="28"/>
      <c r="E26" s="30"/>
      <c r="F26" s="30"/>
      <c r="G26" s="30"/>
      <c r="H26" s="30"/>
      <c r="I26" s="30"/>
      <c r="J26" s="30" t="str">
        <f t="shared" si="1"/>
        <v/>
      </c>
      <c r="K26" s="30"/>
      <c r="L26" s="30" t="str">
        <f t="shared" si="2"/>
        <v/>
      </c>
      <c r="M26" s="30" t="str">
        <f t="shared" si="3"/>
        <v/>
      </c>
      <c r="N26" s="25"/>
      <c r="O26" s="31">
        <f t="shared" si="4"/>
        <v>0</v>
      </c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 ht="12.75" customHeight="1">
      <c r="A27" s="55">
        <v>23.0</v>
      </c>
      <c r="B27" s="36"/>
      <c r="C27" s="28"/>
      <c r="D27" s="28"/>
      <c r="E27" s="30"/>
      <c r="F27" s="30"/>
      <c r="G27" s="30"/>
      <c r="H27" s="30"/>
      <c r="I27" s="30"/>
      <c r="J27" s="30" t="str">
        <f t="shared" si="1"/>
        <v/>
      </c>
      <c r="K27" s="30"/>
      <c r="L27" s="30" t="str">
        <f t="shared" si="2"/>
        <v/>
      </c>
      <c r="M27" s="30" t="str">
        <f t="shared" si="3"/>
        <v/>
      </c>
      <c r="N27" s="25"/>
      <c r="O27" s="31">
        <f t="shared" si="4"/>
        <v>0</v>
      </c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 ht="12.75" customHeight="1">
      <c r="A28" s="55">
        <v>24.0</v>
      </c>
      <c r="B28" s="36"/>
      <c r="C28" s="28"/>
      <c r="D28" s="28"/>
      <c r="E28" s="30"/>
      <c r="F28" s="30"/>
      <c r="G28" s="30"/>
      <c r="H28" s="30"/>
      <c r="I28" s="30"/>
      <c r="J28" s="30">
        <v>54.39</v>
      </c>
      <c r="K28" s="30"/>
      <c r="L28" s="30" t="str">
        <f t="shared" si="2"/>
        <v/>
      </c>
      <c r="M28" s="30" t="str">
        <f t="shared" si="3"/>
        <v/>
      </c>
      <c r="N28" s="25"/>
      <c r="O28" s="31">
        <f t="shared" si="4"/>
        <v>0</v>
      </c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ht="12.75" customHeight="1">
      <c r="A29" s="55">
        <v>25.0</v>
      </c>
      <c r="B29" s="36"/>
      <c r="C29" s="28"/>
      <c r="D29" s="28"/>
      <c r="E29" s="30"/>
      <c r="F29" s="30"/>
      <c r="G29" s="30"/>
      <c r="H29" s="30"/>
      <c r="I29" s="30"/>
      <c r="J29" s="30" t="str">
        <f t="shared" ref="J29:J44" si="5">IF(MIN(E29:I29)&gt;0,MIN(E29:I29),IF(COUNTBLANK(E29:I29)=5,"","DNF"))</f>
        <v/>
      </c>
      <c r="K29" s="30"/>
      <c r="L29" s="30" t="str">
        <f t="shared" si="2"/>
        <v/>
      </c>
      <c r="M29" s="30" t="str">
        <f>IF(COUNTBLANK(E29:I29)&gt;0,"",IF(COUNTIF(E29:I29,"DNF")+COUNTIF(E29:I29,"DNS")&gt;1,"DNF",IF(COUNTIF(E29:I29,"DNF")+COUNTIF(E29:I29,"DNS")&gt;0,(SUM(E29:I29)-J29)/3,(SUM(E29:I29)-J29-L29)/3)))</f>
        <v/>
      </c>
      <c r="N29" s="25"/>
      <c r="O29" s="31">
        <f t="shared" si="4"/>
        <v>0</v>
      </c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 ht="12.75" customHeight="1">
      <c r="A30" s="55">
        <v>26.0</v>
      </c>
      <c r="B30" s="36"/>
      <c r="C30" s="28"/>
      <c r="D30" s="28"/>
      <c r="E30" s="30"/>
      <c r="F30" s="30"/>
      <c r="G30" s="30"/>
      <c r="H30" s="30"/>
      <c r="I30" s="30"/>
      <c r="J30" s="30" t="str">
        <f t="shared" si="5"/>
        <v/>
      </c>
      <c r="K30" s="30"/>
      <c r="L30" s="30" t="str">
        <f t="shared" si="2"/>
        <v/>
      </c>
      <c r="M30" s="30" t="str">
        <f t="shared" ref="M30:M42" si="6">IF(COUNTBLANK(E30:I30)&gt;0,"",IF(COUNTIF(E30:I30,"DNF")+COUNTIF(E30:I30,"DNS")&gt;1,"DNF",ROUND(IF(COUNTIF(E30:I30,"DNF")+COUNTIF(E30:I30,"DNS")&gt;0,(SUM(E30:I30)-J30)/3,(SUM(E30:I30)-J30-L30)/3),2)))</f>
        <v/>
      </c>
      <c r="N30" s="25"/>
      <c r="O30" s="31">
        <f t="shared" si="4"/>
        <v>0</v>
      </c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 ht="12.75" customHeight="1">
      <c r="A31" s="55">
        <v>27.0</v>
      </c>
      <c r="B31" s="36"/>
      <c r="C31" s="28"/>
      <c r="D31" s="28"/>
      <c r="E31" s="30"/>
      <c r="F31" s="30"/>
      <c r="G31" s="30"/>
      <c r="H31" s="30"/>
      <c r="I31" s="30"/>
      <c r="J31" s="30" t="str">
        <f t="shared" si="5"/>
        <v/>
      </c>
      <c r="K31" s="30"/>
      <c r="L31" s="30" t="str">
        <f t="shared" si="2"/>
        <v/>
      </c>
      <c r="M31" s="30" t="str">
        <f t="shared" si="6"/>
        <v/>
      </c>
      <c r="N31" s="25"/>
      <c r="O31" s="31">
        <f t="shared" si="4"/>
        <v>0</v>
      </c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 ht="12.75" customHeight="1">
      <c r="A32" s="55">
        <v>28.0</v>
      </c>
      <c r="B32" s="36"/>
      <c r="C32" s="28"/>
      <c r="D32" s="28"/>
      <c r="E32" s="30"/>
      <c r="F32" s="30"/>
      <c r="G32" s="30"/>
      <c r="H32" s="30"/>
      <c r="I32" s="30"/>
      <c r="J32" s="30" t="str">
        <f t="shared" si="5"/>
        <v/>
      </c>
      <c r="K32" s="30"/>
      <c r="L32" s="30" t="str">
        <f t="shared" si="2"/>
        <v/>
      </c>
      <c r="M32" s="30" t="str">
        <f t="shared" si="6"/>
        <v/>
      </c>
      <c r="N32" s="25"/>
      <c r="O32" s="31">
        <f t="shared" si="4"/>
        <v>0</v>
      </c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 ht="12.75" customHeight="1">
      <c r="A33" s="55">
        <v>29.0</v>
      </c>
      <c r="B33" s="36"/>
      <c r="C33" s="28"/>
      <c r="D33" s="28"/>
      <c r="E33" s="30"/>
      <c r="F33" s="30"/>
      <c r="G33" s="30"/>
      <c r="H33" s="30"/>
      <c r="I33" s="30"/>
      <c r="J33" s="30" t="str">
        <f t="shared" si="5"/>
        <v/>
      </c>
      <c r="K33" s="30"/>
      <c r="L33" s="30" t="str">
        <f t="shared" si="2"/>
        <v/>
      </c>
      <c r="M33" s="30" t="str">
        <f t="shared" si="6"/>
        <v/>
      </c>
      <c r="N33" s="25"/>
      <c r="O33" s="31">
        <f t="shared" si="4"/>
        <v>0</v>
      </c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ht="12.75" customHeight="1">
      <c r="A34" s="55">
        <v>30.0</v>
      </c>
      <c r="B34" s="36"/>
      <c r="C34" s="28"/>
      <c r="D34" s="28"/>
      <c r="E34" s="30"/>
      <c r="F34" s="30"/>
      <c r="G34" s="30"/>
      <c r="H34" s="30"/>
      <c r="I34" s="30"/>
      <c r="J34" s="30" t="str">
        <f t="shared" si="5"/>
        <v/>
      </c>
      <c r="K34" s="30"/>
      <c r="L34" s="30" t="str">
        <f t="shared" si="2"/>
        <v/>
      </c>
      <c r="M34" s="30" t="str">
        <f t="shared" si="6"/>
        <v/>
      </c>
      <c r="N34" s="25"/>
      <c r="O34" s="31">
        <f t="shared" si="4"/>
        <v>0</v>
      </c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 ht="12.75" customHeight="1">
      <c r="A35" s="55">
        <v>31.0</v>
      </c>
      <c r="B35" s="36"/>
      <c r="C35" s="28"/>
      <c r="D35" s="28"/>
      <c r="E35" s="30"/>
      <c r="F35" s="30"/>
      <c r="G35" s="30"/>
      <c r="H35" s="30"/>
      <c r="I35" s="30"/>
      <c r="J35" s="30" t="str">
        <f t="shared" si="5"/>
        <v/>
      </c>
      <c r="K35" s="30"/>
      <c r="L35" s="30" t="str">
        <f t="shared" si="2"/>
        <v/>
      </c>
      <c r="M35" s="30" t="str">
        <f t="shared" si="6"/>
        <v/>
      </c>
      <c r="N35" s="25"/>
      <c r="O35" s="31">
        <f t="shared" si="4"/>
        <v>0</v>
      </c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 ht="12.75" customHeight="1">
      <c r="A36" s="55">
        <v>32.0</v>
      </c>
      <c r="B36" s="36"/>
      <c r="C36" s="28"/>
      <c r="D36" s="28"/>
      <c r="E36" s="30"/>
      <c r="F36" s="30"/>
      <c r="G36" s="30"/>
      <c r="H36" s="30"/>
      <c r="I36" s="30"/>
      <c r="J36" s="30" t="str">
        <f t="shared" si="5"/>
        <v/>
      </c>
      <c r="K36" s="30"/>
      <c r="L36" s="30" t="str">
        <f t="shared" si="2"/>
        <v/>
      </c>
      <c r="M36" s="30" t="str">
        <f t="shared" si="6"/>
        <v/>
      </c>
      <c r="N36" s="25"/>
      <c r="O36" s="31">
        <f t="shared" si="4"/>
        <v>0</v>
      </c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 ht="12.75" customHeight="1">
      <c r="A37" s="55">
        <v>33.0</v>
      </c>
      <c r="B37" s="36"/>
      <c r="C37" s="28"/>
      <c r="D37" s="28"/>
      <c r="E37" s="30"/>
      <c r="F37" s="30"/>
      <c r="G37" s="30"/>
      <c r="H37" s="30"/>
      <c r="I37" s="30"/>
      <c r="J37" s="30" t="str">
        <f t="shared" si="5"/>
        <v/>
      </c>
      <c r="K37" s="30"/>
      <c r="L37" s="30" t="str">
        <f t="shared" si="2"/>
        <v/>
      </c>
      <c r="M37" s="30" t="str">
        <f t="shared" si="6"/>
        <v/>
      </c>
      <c r="N37" s="25"/>
      <c r="O37" s="31">
        <f t="shared" si="4"/>
        <v>0</v>
      </c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ht="12.75" customHeight="1">
      <c r="A38" s="55">
        <v>34.0</v>
      </c>
      <c r="B38" s="36"/>
      <c r="C38" s="28"/>
      <c r="D38" s="28"/>
      <c r="E38" s="30"/>
      <c r="F38" s="30"/>
      <c r="G38" s="30"/>
      <c r="H38" s="30"/>
      <c r="I38" s="30"/>
      <c r="J38" s="30" t="str">
        <f t="shared" si="5"/>
        <v/>
      </c>
      <c r="K38" s="30"/>
      <c r="L38" s="30" t="str">
        <f t="shared" si="2"/>
        <v/>
      </c>
      <c r="M38" s="30" t="str">
        <f t="shared" si="6"/>
        <v/>
      </c>
      <c r="N38" s="25"/>
      <c r="O38" s="31">
        <f t="shared" si="4"/>
        <v>0</v>
      </c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 ht="12.75" customHeight="1">
      <c r="A39" s="55">
        <v>35.0</v>
      </c>
      <c r="B39" s="36"/>
      <c r="C39" s="28"/>
      <c r="D39" s="28"/>
      <c r="E39" s="30"/>
      <c r="F39" s="30"/>
      <c r="G39" s="30"/>
      <c r="H39" s="30"/>
      <c r="I39" s="30"/>
      <c r="J39" s="30" t="str">
        <f t="shared" si="5"/>
        <v/>
      </c>
      <c r="K39" s="30"/>
      <c r="L39" s="30" t="str">
        <f t="shared" si="2"/>
        <v/>
      </c>
      <c r="M39" s="30" t="str">
        <f t="shared" si="6"/>
        <v/>
      </c>
      <c r="N39" s="25"/>
      <c r="O39" s="31">
        <f t="shared" si="4"/>
        <v>0</v>
      </c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 ht="12.75" customHeight="1">
      <c r="A40" s="55">
        <v>36.0</v>
      </c>
      <c r="B40" s="36"/>
      <c r="C40" s="28"/>
      <c r="D40" s="28"/>
      <c r="E40" s="30"/>
      <c r="F40" s="30"/>
      <c r="G40" s="30"/>
      <c r="H40" s="30"/>
      <c r="I40" s="30"/>
      <c r="J40" s="30" t="str">
        <f t="shared" si="5"/>
        <v/>
      </c>
      <c r="K40" s="30"/>
      <c r="L40" s="30" t="str">
        <f t="shared" si="2"/>
        <v/>
      </c>
      <c r="M40" s="30" t="str">
        <f t="shared" si="6"/>
        <v/>
      </c>
      <c r="N40" s="25"/>
      <c r="O40" s="31">
        <f t="shared" si="4"/>
        <v>0</v>
      </c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 ht="12.75" customHeight="1">
      <c r="A41" s="55">
        <v>37.0</v>
      </c>
      <c r="B41" s="36"/>
      <c r="C41" s="28"/>
      <c r="D41" s="28"/>
      <c r="E41" s="30"/>
      <c r="F41" s="30"/>
      <c r="G41" s="30"/>
      <c r="H41" s="30"/>
      <c r="I41" s="30"/>
      <c r="J41" s="30" t="str">
        <f t="shared" si="5"/>
        <v/>
      </c>
      <c r="K41" s="30"/>
      <c r="L41" s="30" t="str">
        <f t="shared" si="2"/>
        <v/>
      </c>
      <c r="M41" s="30" t="str">
        <f t="shared" si="6"/>
        <v/>
      </c>
      <c r="N41" s="25"/>
      <c r="O41" s="31">
        <f t="shared" si="4"/>
        <v>0</v>
      </c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 ht="12.75" customHeight="1">
      <c r="A42" s="55">
        <f>IF(AND(M41=M42,J41=J42),A41,ROW()-4)</f>
        <v>37</v>
      </c>
      <c r="B42" s="36"/>
      <c r="C42" s="28"/>
      <c r="D42" s="28"/>
      <c r="E42" s="30"/>
      <c r="F42" s="30"/>
      <c r="G42" s="30"/>
      <c r="H42" s="30"/>
      <c r="I42" s="30"/>
      <c r="J42" s="30" t="str">
        <f t="shared" si="5"/>
        <v/>
      </c>
      <c r="K42" s="30"/>
      <c r="L42" s="30" t="str">
        <f t="shared" si="2"/>
        <v/>
      </c>
      <c r="M42" s="30" t="str">
        <f t="shared" si="6"/>
        <v/>
      </c>
      <c r="N42" s="25"/>
      <c r="O42" s="31">
        <f t="shared" si="4"/>
        <v>0</v>
      </c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</row>
    <row r="43" ht="12.75" customHeight="1">
      <c r="A43" s="55">
        <v>15.0</v>
      </c>
      <c r="B43" s="36"/>
      <c r="E43" s="44"/>
      <c r="F43" s="44"/>
      <c r="G43" s="44"/>
      <c r="H43" s="44"/>
      <c r="I43" s="44"/>
      <c r="J43" s="44" t="str">
        <f t="shared" si="5"/>
        <v/>
      </c>
      <c r="K43" s="45"/>
      <c r="L43" s="44" t="str">
        <f t="shared" si="2"/>
        <v/>
      </c>
      <c r="M43" s="44" t="str">
        <f>IF(COUNTBLANK(E43:I43)&gt;0,"",IF(COUNTIF(E43:I43,"DNF")+COUNTIF(E43:I43,"DNS")&gt;1,"DNF",IF(COUNTIF(E43:I43,"DNF")+COUNTIF(E43:I43,"DNS")&gt;0,(SUM(E43:I43)-J43)/3,(SUM(E43:I43)-J43-L43)/3)))</f>
        <v/>
      </c>
      <c r="N43" s="25"/>
      <c r="O43" s="31">
        <f t="shared" si="4"/>
        <v>0</v>
      </c>
    </row>
    <row r="44" ht="12.75" customHeight="1">
      <c r="E44" s="35"/>
      <c r="F44" s="35"/>
      <c r="G44" s="35"/>
      <c r="H44" s="35"/>
      <c r="I44" s="35"/>
      <c r="J44" s="35" t="str">
        <f t="shared" si="5"/>
        <v/>
      </c>
      <c r="K44" s="35"/>
      <c r="L44" s="35" t="str">
        <f t="shared" si="2"/>
        <v/>
      </c>
      <c r="M44" s="35" t="str">
        <f>IF(COUNTBLANK(E44:I44)&gt;0,"",IF(COUNTIF(E44:I44,"DNF")+COUNTIF(E44:I44,"DNS")&gt;1,"DNF",ROUND(IF(COUNTIF(E44:I44,"DNF")+COUNTIF(E44:I44,"DNS")&gt;0,(SUM(E44:I44)-J44)/3,(SUM(E44:I44)-J44-L44)/3),2)))</f>
        <v/>
      </c>
      <c r="N44" s="25"/>
      <c r="O44" s="31">
        <f t="shared" si="4"/>
        <v>0</v>
      </c>
    </row>
    <row r="45" ht="12.75" customHeight="1">
      <c r="E45" s="40"/>
      <c r="F45" s="40"/>
      <c r="G45" s="40"/>
      <c r="H45" s="40"/>
      <c r="I45" s="40"/>
      <c r="J45" s="40"/>
      <c r="K45" s="40"/>
      <c r="L45" s="40"/>
      <c r="M45" s="40"/>
    </row>
    <row r="46" ht="12.75" customHeight="1">
      <c r="E46" s="40"/>
      <c r="F46" s="40"/>
      <c r="G46" s="40"/>
      <c r="H46" s="40"/>
      <c r="I46" s="40"/>
      <c r="J46" s="40"/>
      <c r="K46" s="40"/>
      <c r="L46" s="40"/>
      <c r="M46" s="40"/>
    </row>
    <row r="47" ht="12.75" customHeight="1">
      <c r="E47" s="40"/>
      <c r="F47" s="40"/>
      <c r="G47" s="40"/>
      <c r="H47" s="40"/>
      <c r="I47" s="40"/>
      <c r="J47" s="40"/>
      <c r="K47" s="40"/>
      <c r="L47" s="40"/>
      <c r="M47" s="40"/>
    </row>
    <row r="48" ht="12.75" customHeight="1">
      <c r="E48" s="40"/>
      <c r="F48" s="40"/>
      <c r="G48" s="40"/>
      <c r="H48" s="40"/>
      <c r="I48" s="40"/>
      <c r="J48" s="40"/>
      <c r="K48" s="40"/>
      <c r="L48" s="40"/>
      <c r="M48" s="40"/>
    </row>
    <row r="49" ht="12.75" customHeight="1">
      <c r="E49" s="40"/>
      <c r="F49" s="40"/>
      <c r="G49" s="40"/>
      <c r="H49" s="40"/>
      <c r="I49" s="40"/>
      <c r="J49" s="40"/>
      <c r="K49" s="40"/>
      <c r="L49" s="40"/>
      <c r="M49" s="40"/>
    </row>
    <row r="50" ht="12.75" customHeight="1">
      <c r="E50" s="40"/>
      <c r="F50" s="40"/>
      <c r="G50" s="40"/>
      <c r="H50" s="40"/>
      <c r="I50" s="40"/>
      <c r="J50" s="40"/>
      <c r="K50" s="40"/>
      <c r="L50" s="40"/>
      <c r="M50" s="40"/>
    </row>
    <row r="51" ht="12.75" customHeight="1">
      <c r="E51" s="40"/>
      <c r="F51" s="40"/>
      <c r="G51" s="40"/>
      <c r="H51" s="40"/>
      <c r="I51" s="40"/>
      <c r="J51" s="40"/>
      <c r="K51" s="40"/>
      <c r="L51" s="40"/>
      <c r="M51" s="40"/>
    </row>
    <row r="52" ht="12.75" customHeight="1">
      <c r="E52" s="40"/>
      <c r="F52" s="40"/>
      <c r="G52" s="40"/>
      <c r="H52" s="40"/>
      <c r="I52" s="40"/>
      <c r="J52" s="40"/>
      <c r="K52" s="40"/>
      <c r="L52" s="40"/>
      <c r="M52" s="40"/>
    </row>
    <row r="53" ht="12.75" customHeight="1">
      <c r="E53" s="40"/>
      <c r="F53" s="40"/>
      <c r="G53" s="40"/>
      <c r="H53" s="40"/>
      <c r="I53" s="40"/>
      <c r="J53" s="40"/>
      <c r="K53" s="40"/>
      <c r="L53" s="40"/>
      <c r="M53" s="40"/>
    </row>
    <row r="54" ht="12.75" customHeight="1">
      <c r="E54" s="40"/>
      <c r="F54" s="40"/>
      <c r="G54" s="40"/>
      <c r="H54" s="40"/>
      <c r="I54" s="40"/>
      <c r="J54" s="40"/>
      <c r="K54" s="40"/>
      <c r="L54" s="40"/>
      <c r="M54" s="40"/>
    </row>
    <row r="55" ht="12.75" customHeight="1">
      <c r="E55" s="40"/>
      <c r="F55" s="40"/>
      <c r="G55" s="40"/>
      <c r="H55" s="40"/>
      <c r="I55" s="40"/>
      <c r="J55" s="40"/>
      <c r="K55" s="40"/>
      <c r="L55" s="40"/>
      <c r="M55" s="40"/>
    </row>
    <row r="56" ht="12.75" customHeight="1">
      <c r="E56" s="40"/>
      <c r="F56" s="40"/>
      <c r="G56" s="40"/>
      <c r="H56" s="40"/>
      <c r="I56" s="40"/>
      <c r="J56" s="40"/>
      <c r="K56" s="40"/>
      <c r="L56" s="40"/>
      <c r="M56" s="40"/>
    </row>
    <row r="57" ht="12.75" customHeight="1">
      <c r="E57" s="40"/>
      <c r="F57" s="40"/>
      <c r="G57" s="40"/>
      <c r="H57" s="40"/>
      <c r="I57" s="40"/>
      <c r="J57" s="40"/>
      <c r="K57" s="40"/>
      <c r="L57" s="40"/>
      <c r="M57" s="40"/>
    </row>
    <row r="58" ht="12.75" customHeight="1">
      <c r="E58" s="40"/>
      <c r="F58" s="40"/>
      <c r="G58" s="40"/>
      <c r="H58" s="40"/>
      <c r="I58" s="40"/>
      <c r="J58" s="40"/>
      <c r="K58" s="40"/>
      <c r="L58" s="40"/>
      <c r="M58" s="40"/>
    </row>
    <row r="59" ht="12.75" customHeight="1">
      <c r="E59" s="40"/>
      <c r="F59" s="40"/>
      <c r="G59" s="40"/>
      <c r="H59" s="40"/>
      <c r="I59" s="40"/>
      <c r="J59" s="40"/>
      <c r="K59" s="40"/>
      <c r="L59" s="40"/>
      <c r="M59" s="40"/>
    </row>
    <row r="60" ht="12.75" customHeight="1">
      <c r="E60" s="40"/>
      <c r="F60" s="40"/>
      <c r="G60" s="40"/>
      <c r="H60" s="40"/>
      <c r="I60" s="40"/>
      <c r="J60" s="40"/>
      <c r="K60" s="40"/>
      <c r="L60" s="40"/>
      <c r="M60" s="40"/>
    </row>
    <row r="61" ht="12.75" customHeight="1">
      <c r="E61" s="40"/>
      <c r="F61" s="40"/>
      <c r="G61" s="40"/>
      <c r="H61" s="40"/>
      <c r="I61" s="40"/>
      <c r="J61" s="40"/>
      <c r="K61" s="40"/>
      <c r="L61" s="40"/>
      <c r="M61" s="40"/>
    </row>
    <row r="62" ht="12.75" customHeight="1">
      <c r="E62" s="40"/>
      <c r="F62" s="40"/>
      <c r="G62" s="40"/>
      <c r="H62" s="40"/>
      <c r="I62" s="40"/>
      <c r="J62" s="40"/>
      <c r="K62" s="40"/>
      <c r="L62" s="40"/>
      <c r="M62" s="40"/>
    </row>
    <row r="63" ht="12.75" customHeight="1">
      <c r="E63" s="40"/>
      <c r="F63" s="40"/>
      <c r="G63" s="40"/>
      <c r="H63" s="40"/>
      <c r="I63" s="40"/>
      <c r="J63" s="40"/>
      <c r="K63" s="40"/>
      <c r="L63" s="40"/>
      <c r="M63" s="40"/>
    </row>
    <row r="64" ht="12.75" customHeight="1">
      <c r="E64" s="40"/>
      <c r="F64" s="40"/>
      <c r="G64" s="40"/>
      <c r="H64" s="40"/>
      <c r="I64" s="40"/>
      <c r="J64" s="40"/>
      <c r="K64" s="40"/>
      <c r="L64" s="40"/>
      <c r="M64" s="40"/>
    </row>
    <row r="65" ht="12.75" customHeight="1">
      <c r="E65" s="40"/>
      <c r="F65" s="40"/>
      <c r="G65" s="40"/>
      <c r="H65" s="40"/>
      <c r="I65" s="40"/>
      <c r="J65" s="40"/>
      <c r="K65" s="40"/>
      <c r="L65" s="40"/>
      <c r="M65" s="40"/>
    </row>
    <row r="66" ht="12.75" customHeight="1">
      <c r="E66" s="40"/>
      <c r="F66" s="40"/>
      <c r="G66" s="40"/>
      <c r="H66" s="40"/>
      <c r="I66" s="40"/>
      <c r="J66" s="40"/>
      <c r="K66" s="40"/>
      <c r="L66" s="40"/>
      <c r="M66" s="40"/>
    </row>
    <row r="67" ht="12.75" customHeight="1">
      <c r="E67" s="40"/>
      <c r="F67" s="40"/>
      <c r="G67" s="40"/>
      <c r="H67" s="40"/>
      <c r="I67" s="40"/>
      <c r="J67" s="40"/>
      <c r="K67" s="40"/>
      <c r="L67" s="40"/>
      <c r="M67" s="40"/>
    </row>
    <row r="68" ht="12.75" customHeight="1">
      <c r="E68" s="40"/>
      <c r="F68" s="40"/>
      <c r="G68" s="40"/>
      <c r="H68" s="40"/>
      <c r="I68" s="40"/>
      <c r="J68" s="40"/>
      <c r="K68" s="40"/>
      <c r="L68" s="40"/>
      <c r="M68" s="40"/>
    </row>
    <row r="69" ht="12.75" customHeight="1">
      <c r="E69" s="40"/>
      <c r="F69" s="40"/>
      <c r="G69" s="40"/>
      <c r="H69" s="40"/>
      <c r="I69" s="40"/>
      <c r="J69" s="40"/>
      <c r="K69" s="40"/>
      <c r="L69" s="40"/>
      <c r="M69" s="40"/>
    </row>
    <row r="70" ht="12.75" customHeight="1">
      <c r="E70" s="40"/>
      <c r="F70" s="40"/>
      <c r="G70" s="40"/>
      <c r="H70" s="40"/>
      <c r="I70" s="40"/>
      <c r="J70" s="40"/>
      <c r="K70" s="40"/>
      <c r="L70" s="40"/>
      <c r="M70" s="40"/>
    </row>
    <row r="71" ht="12.75" customHeight="1">
      <c r="E71" s="40"/>
      <c r="F71" s="40"/>
      <c r="G71" s="40"/>
      <c r="H71" s="40"/>
      <c r="I71" s="40"/>
      <c r="J71" s="40"/>
      <c r="K71" s="40"/>
      <c r="L71" s="40"/>
      <c r="M71" s="40"/>
    </row>
    <row r="72" ht="12.75" customHeight="1">
      <c r="E72" s="40"/>
      <c r="F72" s="40"/>
      <c r="G72" s="40"/>
      <c r="H72" s="40"/>
      <c r="I72" s="40"/>
      <c r="J72" s="40"/>
      <c r="K72" s="40"/>
      <c r="L72" s="40"/>
      <c r="M72" s="40"/>
    </row>
    <row r="73" ht="12.75" customHeight="1">
      <c r="E73" s="40"/>
      <c r="F73" s="40"/>
      <c r="G73" s="40"/>
      <c r="H73" s="40"/>
      <c r="I73" s="40"/>
      <c r="J73" s="40"/>
      <c r="K73" s="40"/>
      <c r="L73" s="40"/>
      <c r="M73" s="40"/>
    </row>
    <row r="74" ht="12.75" customHeight="1">
      <c r="E74" s="40"/>
      <c r="F74" s="40"/>
      <c r="G74" s="40"/>
      <c r="H74" s="40"/>
      <c r="I74" s="40"/>
      <c r="J74" s="40"/>
      <c r="K74" s="40"/>
      <c r="L74" s="40"/>
      <c r="M74" s="40"/>
    </row>
    <row r="75" ht="12.75" customHeight="1">
      <c r="E75" s="40"/>
      <c r="F75" s="40"/>
      <c r="G75" s="40"/>
      <c r="H75" s="40"/>
      <c r="I75" s="40"/>
      <c r="J75" s="40"/>
      <c r="K75" s="40"/>
      <c r="L75" s="40"/>
      <c r="M75" s="40"/>
    </row>
    <row r="76" ht="12.75" customHeight="1">
      <c r="E76" s="40"/>
      <c r="F76" s="40"/>
      <c r="G76" s="40"/>
      <c r="H76" s="40"/>
      <c r="I76" s="40"/>
      <c r="J76" s="40"/>
      <c r="K76" s="40"/>
      <c r="L76" s="40"/>
      <c r="M76" s="40"/>
    </row>
    <row r="77" ht="12.75" customHeight="1">
      <c r="E77" s="40"/>
      <c r="F77" s="40"/>
      <c r="G77" s="40"/>
      <c r="H77" s="40"/>
      <c r="I77" s="40"/>
      <c r="J77" s="40"/>
      <c r="K77" s="40"/>
      <c r="L77" s="40"/>
      <c r="M77" s="40"/>
    </row>
    <row r="78" ht="12.75" customHeight="1">
      <c r="E78" s="40"/>
      <c r="F78" s="40"/>
      <c r="G78" s="40"/>
      <c r="H78" s="40"/>
      <c r="I78" s="40"/>
      <c r="J78" s="40"/>
      <c r="K78" s="40"/>
      <c r="L78" s="40"/>
      <c r="M78" s="40"/>
    </row>
    <row r="79" ht="12.75" customHeight="1">
      <c r="E79" s="40"/>
      <c r="F79" s="40"/>
      <c r="G79" s="40"/>
      <c r="H79" s="40"/>
      <c r="I79" s="40"/>
      <c r="J79" s="40"/>
      <c r="K79" s="40"/>
      <c r="L79" s="40"/>
      <c r="M79" s="40"/>
    </row>
    <row r="80" ht="12.75" customHeight="1">
      <c r="E80" s="40"/>
      <c r="F80" s="40"/>
      <c r="G80" s="40"/>
      <c r="H80" s="40"/>
      <c r="I80" s="40"/>
      <c r="J80" s="40"/>
      <c r="K80" s="40"/>
      <c r="L80" s="40"/>
      <c r="M80" s="40"/>
    </row>
    <row r="81" ht="12.75" customHeight="1">
      <c r="E81" s="40"/>
      <c r="F81" s="40"/>
      <c r="G81" s="40"/>
      <c r="H81" s="40"/>
      <c r="I81" s="40"/>
      <c r="J81" s="40"/>
      <c r="K81" s="40"/>
      <c r="L81" s="40"/>
      <c r="M81" s="40"/>
    </row>
    <row r="82" ht="12.75" customHeight="1">
      <c r="E82" s="40"/>
      <c r="F82" s="40"/>
      <c r="G82" s="40"/>
      <c r="H82" s="40"/>
      <c r="I82" s="40"/>
      <c r="J82" s="40"/>
      <c r="K82" s="40"/>
      <c r="L82" s="40"/>
      <c r="M82" s="40"/>
    </row>
    <row r="83" ht="12.75" customHeight="1">
      <c r="E83" s="40"/>
      <c r="F83" s="40"/>
      <c r="G83" s="40"/>
      <c r="H83" s="40"/>
      <c r="I83" s="40"/>
      <c r="J83" s="40"/>
      <c r="K83" s="40"/>
      <c r="L83" s="40"/>
      <c r="M83" s="40"/>
    </row>
    <row r="84" ht="12.75" customHeight="1">
      <c r="E84" s="40"/>
      <c r="F84" s="40"/>
      <c r="G84" s="40"/>
      <c r="H84" s="40"/>
      <c r="I84" s="40"/>
      <c r="J84" s="40"/>
      <c r="K84" s="40"/>
      <c r="L84" s="40"/>
      <c r="M84" s="40"/>
    </row>
    <row r="85" ht="12.75" customHeight="1">
      <c r="E85" s="40"/>
      <c r="F85" s="40"/>
      <c r="G85" s="40"/>
      <c r="H85" s="40"/>
      <c r="I85" s="40"/>
      <c r="J85" s="40"/>
      <c r="K85" s="40"/>
      <c r="L85" s="40"/>
      <c r="M85" s="40"/>
    </row>
    <row r="86" ht="12.75" customHeight="1">
      <c r="E86" s="40"/>
      <c r="F86" s="40"/>
      <c r="G86" s="40"/>
      <c r="H86" s="40"/>
      <c r="I86" s="40"/>
      <c r="J86" s="40"/>
      <c r="K86" s="40"/>
      <c r="L86" s="40"/>
      <c r="M86" s="40"/>
    </row>
    <row r="87" ht="12.75" customHeight="1">
      <c r="E87" s="40"/>
      <c r="F87" s="40"/>
      <c r="G87" s="40"/>
      <c r="H87" s="40"/>
      <c r="I87" s="40"/>
      <c r="J87" s="40"/>
      <c r="K87" s="40"/>
      <c r="L87" s="40"/>
      <c r="M87" s="40"/>
    </row>
    <row r="88" ht="12.75" customHeight="1">
      <c r="E88" s="40"/>
      <c r="F88" s="40"/>
      <c r="G88" s="40"/>
      <c r="H88" s="40"/>
      <c r="I88" s="40"/>
      <c r="J88" s="40"/>
      <c r="K88" s="40"/>
      <c r="L88" s="40"/>
      <c r="M88" s="40"/>
    </row>
    <row r="89" ht="12.75" customHeight="1">
      <c r="E89" s="40"/>
      <c r="F89" s="40"/>
      <c r="G89" s="40"/>
      <c r="H89" s="40"/>
      <c r="I89" s="40"/>
      <c r="J89" s="40"/>
      <c r="K89" s="40"/>
      <c r="L89" s="40"/>
      <c r="M89" s="40"/>
    </row>
    <row r="90" ht="12.75" customHeight="1">
      <c r="E90" s="40"/>
      <c r="F90" s="40"/>
      <c r="G90" s="40"/>
      <c r="H90" s="40"/>
      <c r="I90" s="40"/>
      <c r="J90" s="40"/>
      <c r="K90" s="40"/>
      <c r="L90" s="40"/>
      <c r="M90" s="40"/>
    </row>
    <row r="91" ht="12.75" customHeight="1">
      <c r="E91" s="40"/>
      <c r="F91" s="40"/>
      <c r="G91" s="40"/>
      <c r="H91" s="40"/>
      <c r="I91" s="40"/>
      <c r="J91" s="40"/>
      <c r="K91" s="40"/>
      <c r="L91" s="40"/>
      <c r="M91" s="40"/>
    </row>
    <row r="92" ht="12.75" customHeight="1">
      <c r="E92" s="40"/>
      <c r="F92" s="40"/>
      <c r="G92" s="40"/>
      <c r="H92" s="40"/>
      <c r="I92" s="40"/>
      <c r="J92" s="40"/>
      <c r="K92" s="40"/>
      <c r="L92" s="40"/>
      <c r="M92" s="40"/>
    </row>
    <row r="93" ht="12.75" customHeight="1">
      <c r="E93" s="40"/>
      <c r="F93" s="40"/>
      <c r="G93" s="40"/>
      <c r="H93" s="40"/>
      <c r="I93" s="40"/>
      <c r="J93" s="40"/>
      <c r="K93" s="40"/>
      <c r="L93" s="40"/>
      <c r="M93" s="40"/>
    </row>
    <row r="94" ht="12.75" customHeight="1">
      <c r="E94" s="40"/>
      <c r="F94" s="40"/>
      <c r="G94" s="40"/>
      <c r="H94" s="40"/>
      <c r="I94" s="40"/>
      <c r="J94" s="40"/>
      <c r="K94" s="40"/>
      <c r="L94" s="40"/>
      <c r="M94" s="40"/>
    </row>
    <row r="95" ht="12.75" customHeight="1">
      <c r="E95" s="40"/>
      <c r="F95" s="40"/>
      <c r="G95" s="40"/>
      <c r="H95" s="40"/>
      <c r="I95" s="40"/>
      <c r="J95" s="40"/>
      <c r="K95" s="40"/>
      <c r="L95" s="40"/>
      <c r="M95" s="40"/>
    </row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autoFilter ref="$A$4:$O$44">
    <sortState ref="A4:O44">
      <sortCondition ref="B4:B44"/>
    </sortState>
  </autoFilter>
  <printOptions/>
  <pageMargins bottom="1.0" footer="0.0" header="0.0" left="0.75" right="0.75" top="1.0"/>
  <pageSetup paperSize="9"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5.38"/>
    <col customWidth="1" min="2" max="2" width="38.25"/>
    <col customWidth="1" hidden="1" min="3" max="3" width="14.13"/>
    <col customWidth="1" hidden="1" min="4" max="4" width="12.13"/>
    <col customWidth="1" min="5" max="5" width="14.13"/>
    <col customWidth="1" min="6" max="7" width="10.63"/>
    <col customWidth="1" min="8" max="8" width="9.88"/>
    <col customWidth="1" min="9" max="9" width="11.88"/>
    <col customWidth="1" min="10" max="10" width="14.0"/>
    <col customWidth="1" hidden="1" min="11" max="11" width="8.13"/>
    <col customWidth="1" min="12" max="12" width="16.13"/>
    <col customWidth="1" min="13" max="13" width="13.63"/>
    <col customWidth="1" hidden="1" min="14" max="14" width="6.88"/>
    <col customWidth="1" min="15" max="15" width="25.38"/>
    <col customWidth="1" min="16" max="26" width="9.13"/>
  </cols>
  <sheetData>
    <row r="1" ht="12.75" customHeight="1">
      <c r="A1" s="78" t="s">
        <v>147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 ht="12.75" customHeight="1">
      <c r="A2" s="19" t="s">
        <v>28</v>
      </c>
      <c r="B2" s="19"/>
      <c r="C2" s="19"/>
      <c r="D2" s="19"/>
      <c r="E2" s="19"/>
      <c r="F2" s="20"/>
      <c r="K2" s="19"/>
      <c r="L2" s="19"/>
    </row>
    <row r="3" ht="12.75" customHeight="1">
      <c r="A3" s="19" t="s">
        <v>29</v>
      </c>
      <c r="B3" s="19"/>
      <c r="K3" s="19"/>
      <c r="L3" s="19"/>
    </row>
    <row r="4" ht="12.75" customHeight="1">
      <c r="A4" s="21" t="s">
        <v>30</v>
      </c>
      <c r="B4" s="21" t="s">
        <v>3</v>
      </c>
      <c r="C4" s="21" t="s">
        <v>4</v>
      </c>
      <c r="D4" s="21" t="s">
        <v>5</v>
      </c>
      <c r="E4" s="22">
        <v>1.0</v>
      </c>
      <c r="F4" s="22">
        <v>2.0</v>
      </c>
      <c r="G4" s="22">
        <v>3.0</v>
      </c>
      <c r="H4" s="22">
        <v>4.0</v>
      </c>
      <c r="I4" s="22">
        <v>5.0</v>
      </c>
      <c r="J4" s="22" t="s">
        <v>31</v>
      </c>
      <c r="K4" s="23" t="s">
        <v>32</v>
      </c>
      <c r="L4" s="22" t="s">
        <v>33</v>
      </c>
      <c r="M4" s="22" t="s">
        <v>34</v>
      </c>
      <c r="N4" s="18" t="s">
        <v>32</v>
      </c>
      <c r="O4" s="24" t="s">
        <v>35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 ht="12.75" customHeight="1">
      <c r="A5" s="80">
        <v>1.0</v>
      </c>
      <c r="B5" s="27" t="s">
        <v>43</v>
      </c>
      <c r="C5" s="41"/>
      <c r="D5" s="41"/>
      <c r="E5" s="29">
        <v>10.27</v>
      </c>
      <c r="F5" s="29">
        <v>9.68</v>
      </c>
      <c r="G5" s="29">
        <v>13.51</v>
      </c>
      <c r="H5" s="29">
        <v>10.59</v>
      </c>
      <c r="I5" s="29">
        <v>9.73</v>
      </c>
      <c r="J5" s="30">
        <f t="shared" ref="J5:J27" si="1">IF(MIN(E5:I5)&gt;0,MIN(E5:I5),IF(COUNTBLANK(E5:I5)=5,"","DNF"))</f>
        <v>9.68</v>
      </c>
      <c r="K5" s="30"/>
      <c r="L5" s="30">
        <f t="shared" ref="L5:L44" si="2">IF(COUNTBLANK(E5:I5)&gt;0,"",IF(COUNTIF(E5:I5,"DNF")+COUNTIF(E5:I5,"DNS")&gt;0,"DNF",MAX(E5:I5)))</f>
        <v>13.51</v>
      </c>
      <c r="M5" s="30">
        <f t="shared" ref="M5:M28" si="3">IF(COUNTBLANK(E5:I5)&gt;0,"",IF(COUNTIF(E5:I5,"DNF")+COUNTIF(E5:I5,"DNS")&gt;1,"DNF",ROUND(IF(COUNTIF(E5:I5,"DNF")+COUNTIF(E5:I5,"DNS")&gt;0,(SUM(E5:I5)-J5)/3,(SUM(E5:I5)-J5-L5)/3),2)))</f>
        <v>10.2</v>
      </c>
      <c r="N5" s="25"/>
      <c r="O5" s="31">
        <f t="shared" ref="O5:O44" si="4">M5/86400</f>
        <v>0.0001180555556</v>
      </c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</row>
    <row r="6" ht="12.75" customHeight="1">
      <c r="A6" s="80">
        <v>2.0</v>
      </c>
      <c r="B6" s="27" t="s">
        <v>148</v>
      </c>
      <c r="C6" s="33"/>
      <c r="D6" s="33"/>
      <c r="E6" s="29">
        <v>8.65</v>
      </c>
      <c r="F6" s="29">
        <v>12.48</v>
      </c>
      <c r="G6" s="29">
        <v>12.43</v>
      </c>
      <c r="H6" s="29">
        <v>10.91</v>
      </c>
      <c r="I6" s="29">
        <v>12.76</v>
      </c>
      <c r="J6" s="30">
        <f t="shared" si="1"/>
        <v>8.65</v>
      </c>
      <c r="K6" s="30"/>
      <c r="L6" s="30">
        <f t="shared" si="2"/>
        <v>12.76</v>
      </c>
      <c r="M6" s="30">
        <f t="shared" si="3"/>
        <v>11.94</v>
      </c>
      <c r="N6" s="25"/>
      <c r="O6" s="31">
        <f t="shared" si="4"/>
        <v>0.0001381944444</v>
      </c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</row>
    <row r="7" ht="12.75" customHeight="1">
      <c r="A7" s="80">
        <v>3.0</v>
      </c>
      <c r="B7" s="27" t="s">
        <v>76</v>
      </c>
      <c r="C7" s="28"/>
      <c r="D7" s="28"/>
      <c r="E7" s="29">
        <v>11.47</v>
      </c>
      <c r="F7" s="29">
        <v>12.72</v>
      </c>
      <c r="G7" s="29">
        <v>11.29</v>
      </c>
      <c r="H7" s="29">
        <v>12.81</v>
      </c>
      <c r="I7" s="29">
        <v>15.32</v>
      </c>
      <c r="J7" s="30">
        <f t="shared" si="1"/>
        <v>11.29</v>
      </c>
      <c r="K7" s="30"/>
      <c r="L7" s="30">
        <f t="shared" si="2"/>
        <v>15.32</v>
      </c>
      <c r="M7" s="30">
        <f t="shared" si="3"/>
        <v>12.33</v>
      </c>
      <c r="N7" s="25"/>
      <c r="O7" s="31">
        <f t="shared" si="4"/>
        <v>0.0001427083333</v>
      </c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</row>
    <row r="8" ht="12.75" customHeight="1">
      <c r="A8" s="80">
        <v>4.0</v>
      </c>
      <c r="B8" s="27" t="s">
        <v>69</v>
      </c>
      <c r="C8" s="28"/>
      <c r="D8" s="28"/>
      <c r="E8" s="29">
        <v>12.16</v>
      </c>
      <c r="F8" s="29">
        <v>13.99</v>
      </c>
      <c r="G8" s="29">
        <v>13.09</v>
      </c>
      <c r="H8" s="29">
        <v>13.04</v>
      </c>
      <c r="I8" s="29">
        <v>11.42</v>
      </c>
      <c r="J8" s="30">
        <f t="shared" si="1"/>
        <v>11.42</v>
      </c>
      <c r="K8" s="30"/>
      <c r="L8" s="30">
        <f t="shared" si="2"/>
        <v>13.99</v>
      </c>
      <c r="M8" s="30">
        <f t="shared" si="3"/>
        <v>12.76</v>
      </c>
      <c r="N8" s="25"/>
      <c r="O8" s="31">
        <f t="shared" si="4"/>
        <v>0.0001476851852</v>
      </c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</row>
    <row r="9" ht="12.75" customHeight="1">
      <c r="A9" s="80">
        <v>5.0</v>
      </c>
      <c r="B9" s="27" t="s">
        <v>44</v>
      </c>
      <c r="C9" s="33"/>
      <c r="D9" s="33"/>
      <c r="E9" s="81">
        <v>13.3</v>
      </c>
      <c r="F9" s="29">
        <v>12.66</v>
      </c>
      <c r="G9" s="29" t="s">
        <v>49</v>
      </c>
      <c r="H9" s="29">
        <v>11.15</v>
      </c>
      <c r="I9" s="29">
        <v>13.48</v>
      </c>
      <c r="J9" s="30">
        <f t="shared" si="1"/>
        <v>11.15</v>
      </c>
      <c r="K9" s="30"/>
      <c r="L9" s="30" t="str">
        <f t="shared" si="2"/>
        <v>DNF</v>
      </c>
      <c r="M9" s="30">
        <f t="shared" si="3"/>
        <v>13.15</v>
      </c>
      <c r="N9" s="25"/>
      <c r="O9" s="31">
        <f t="shared" si="4"/>
        <v>0.0001521990741</v>
      </c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 ht="12.75" customHeight="1">
      <c r="A10" s="80">
        <v>6.0</v>
      </c>
      <c r="B10" s="27" t="s">
        <v>149</v>
      </c>
      <c r="C10" s="28"/>
      <c r="D10" s="28"/>
      <c r="E10" s="29">
        <v>12.95</v>
      </c>
      <c r="F10" s="29">
        <v>20.69</v>
      </c>
      <c r="G10" s="29">
        <v>13.83</v>
      </c>
      <c r="H10" s="29">
        <v>11.05</v>
      </c>
      <c r="I10" s="29">
        <v>14.53</v>
      </c>
      <c r="J10" s="30">
        <f t="shared" si="1"/>
        <v>11.05</v>
      </c>
      <c r="K10" s="30"/>
      <c r="L10" s="30">
        <f t="shared" si="2"/>
        <v>20.69</v>
      </c>
      <c r="M10" s="30">
        <f t="shared" si="3"/>
        <v>13.77</v>
      </c>
      <c r="N10" s="25"/>
      <c r="O10" s="31">
        <f t="shared" si="4"/>
        <v>0.000159375</v>
      </c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 ht="12.75" customHeight="1">
      <c r="A11" s="80">
        <v>7.0</v>
      </c>
      <c r="B11" s="27"/>
      <c r="C11" s="28"/>
      <c r="D11" s="28"/>
      <c r="E11" s="29"/>
      <c r="F11" s="29"/>
      <c r="G11" s="29"/>
      <c r="H11" s="29"/>
      <c r="I11" s="29"/>
      <c r="J11" s="30" t="str">
        <f t="shared" si="1"/>
        <v/>
      </c>
      <c r="K11" s="30"/>
      <c r="L11" s="30" t="str">
        <f t="shared" si="2"/>
        <v/>
      </c>
      <c r="M11" s="30" t="str">
        <f t="shared" si="3"/>
        <v/>
      </c>
      <c r="N11" s="25"/>
      <c r="O11" s="31">
        <f t="shared" si="4"/>
        <v>0</v>
      </c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 ht="12.75" customHeight="1">
      <c r="A12" s="80">
        <v>8.0</v>
      </c>
      <c r="B12" s="27"/>
      <c r="C12" s="33"/>
      <c r="D12" s="33"/>
      <c r="E12" s="29"/>
      <c r="F12" s="29"/>
      <c r="G12" s="29"/>
      <c r="H12" s="29"/>
      <c r="I12" s="29"/>
      <c r="J12" s="30" t="str">
        <f t="shared" si="1"/>
        <v/>
      </c>
      <c r="K12" s="30"/>
      <c r="L12" s="30" t="str">
        <f t="shared" si="2"/>
        <v/>
      </c>
      <c r="M12" s="30" t="str">
        <f t="shared" si="3"/>
        <v/>
      </c>
      <c r="N12" s="25"/>
      <c r="O12" s="31">
        <f t="shared" si="4"/>
        <v>0</v>
      </c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 ht="12.75" customHeight="1">
      <c r="A13" s="80">
        <v>9.0</v>
      </c>
      <c r="B13" s="27"/>
      <c r="C13" s="28"/>
      <c r="D13" s="28"/>
      <c r="E13" s="29"/>
      <c r="F13" s="29"/>
      <c r="G13" s="29"/>
      <c r="H13" s="29"/>
      <c r="I13" s="29"/>
      <c r="J13" s="30" t="str">
        <f t="shared" si="1"/>
        <v/>
      </c>
      <c r="K13" s="30"/>
      <c r="L13" s="30" t="str">
        <f t="shared" si="2"/>
        <v/>
      </c>
      <c r="M13" s="30" t="str">
        <f t="shared" si="3"/>
        <v/>
      </c>
      <c r="N13" s="25"/>
      <c r="O13" s="31">
        <f t="shared" si="4"/>
        <v>0</v>
      </c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 ht="12.75" customHeight="1">
      <c r="A14" s="80">
        <v>10.0</v>
      </c>
      <c r="B14" s="27"/>
      <c r="C14" s="28"/>
      <c r="D14" s="28"/>
      <c r="E14" s="29"/>
      <c r="F14" s="29"/>
      <c r="G14" s="29"/>
      <c r="H14" s="29"/>
      <c r="I14" s="29"/>
      <c r="J14" s="30" t="str">
        <f t="shared" si="1"/>
        <v/>
      </c>
      <c r="K14" s="30"/>
      <c r="L14" s="30" t="str">
        <f t="shared" si="2"/>
        <v/>
      </c>
      <c r="M14" s="30" t="str">
        <f t="shared" si="3"/>
        <v/>
      </c>
      <c r="N14" s="25"/>
      <c r="O14" s="31">
        <f t="shared" si="4"/>
        <v>0</v>
      </c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ht="12.75" customHeight="1">
      <c r="A15" s="80">
        <v>11.0</v>
      </c>
      <c r="B15" s="36"/>
      <c r="C15" s="28"/>
      <c r="D15" s="28"/>
      <c r="E15" s="30"/>
      <c r="F15" s="30"/>
      <c r="G15" s="30"/>
      <c r="H15" s="30"/>
      <c r="I15" s="30"/>
      <c r="J15" s="30" t="str">
        <f t="shared" si="1"/>
        <v/>
      </c>
      <c r="K15" s="30"/>
      <c r="L15" s="30" t="str">
        <f t="shared" si="2"/>
        <v/>
      </c>
      <c r="M15" s="30" t="str">
        <f t="shared" si="3"/>
        <v/>
      </c>
      <c r="N15" s="25"/>
      <c r="O15" s="31">
        <f t="shared" si="4"/>
        <v>0</v>
      </c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ht="12.75" customHeight="1">
      <c r="A16" s="80">
        <v>12.0</v>
      </c>
      <c r="B16" s="36"/>
      <c r="C16" s="28"/>
      <c r="D16" s="28"/>
      <c r="E16" s="30"/>
      <c r="F16" s="30"/>
      <c r="G16" s="30"/>
      <c r="H16" s="30"/>
      <c r="I16" s="30"/>
      <c r="J16" s="30" t="str">
        <f t="shared" si="1"/>
        <v/>
      </c>
      <c r="K16" s="30"/>
      <c r="L16" s="30" t="str">
        <f t="shared" si="2"/>
        <v/>
      </c>
      <c r="M16" s="30" t="str">
        <f t="shared" si="3"/>
        <v/>
      </c>
      <c r="N16" s="25"/>
      <c r="O16" s="31">
        <f t="shared" si="4"/>
        <v>0</v>
      </c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 ht="12.75" customHeight="1">
      <c r="A17" s="55">
        <v>13.0</v>
      </c>
      <c r="B17" s="36"/>
      <c r="C17" s="28"/>
      <c r="D17" s="28"/>
      <c r="E17" s="30"/>
      <c r="F17" s="30"/>
      <c r="G17" s="30"/>
      <c r="H17" s="30"/>
      <c r="I17" s="30"/>
      <c r="J17" s="30" t="str">
        <f t="shared" si="1"/>
        <v/>
      </c>
      <c r="K17" s="30"/>
      <c r="L17" s="30" t="str">
        <f t="shared" si="2"/>
        <v/>
      </c>
      <c r="M17" s="30" t="str">
        <f t="shared" si="3"/>
        <v/>
      </c>
      <c r="N17" s="25"/>
      <c r="O17" s="31">
        <f t="shared" si="4"/>
        <v>0</v>
      </c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 ht="12.75" customHeight="1">
      <c r="A18" s="55">
        <v>14.0</v>
      </c>
      <c r="B18" s="36"/>
      <c r="C18" s="28"/>
      <c r="D18" s="28"/>
      <c r="E18" s="30"/>
      <c r="F18" s="30"/>
      <c r="G18" s="30"/>
      <c r="H18" s="30"/>
      <c r="I18" s="30"/>
      <c r="J18" s="30" t="str">
        <f t="shared" si="1"/>
        <v/>
      </c>
      <c r="K18" s="30"/>
      <c r="L18" s="30" t="str">
        <f t="shared" si="2"/>
        <v/>
      </c>
      <c r="M18" s="30" t="str">
        <f t="shared" si="3"/>
        <v/>
      </c>
      <c r="N18" s="25"/>
      <c r="O18" s="31">
        <f t="shared" si="4"/>
        <v>0</v>
      </c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 ht="12.75" customHeight="1">
      <c r="A19" s="55">
        <v>15.0</v>
      </c>
      <c r="B19" s="36"/>
      <c r="C19" s="28"/>
      <c r="D19" s="28"/>
      <c r="E19" s="30"/>
      <c r="F19" s="30"/>
      <c r="G19" s="30"/>
      <c r="H19" s="30"/>
      <c r="I19" s="30"/>
      <c r="J19" s="30" t="str">
        <f t="shared" si="1"/>
        <v/>
      </c>
      <c r="K19" s="30"/>
      <c r="L19" s="30" t="str">
        <f t="shared" si="2"/>
        <v/>
      </c>
      <c r="M19" s="30" t="str">
        <f t="shared" si="3"/>
        <v/>
      </c>
      <c r="N19" s="25"/>
      <c r="O19" s="31">
        <f t="shared" si="4"/>
        <v>0</v>
      </c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 ht="12.75" customHeight="1">
      <c r="A20" s="55">
        <v>16.0</v>
      </c>
      <c r="B20" s="36"/>
      <c r="C20" s="28"/>
      <c r="D20" s="28"/>
      <c r="E20" s="30"/>
      <c r="F20" s="30"/>
      <c r="G20" s="30"/>
      <c r="H20" s="30"/>
      <c r="I20" s="30"/>
      <c r="J20" s="30" t="str">
        <f t="shared" si="1"/>
        <v/>
      </c>
      <c r="K20" s="30"/>
      <c r="L20" s="30" t="str">
        <f t="shared" si="2"/>
        <v/>
      </c>
      <c r="M20" s="30" t="str">
        <f t="shared" si="3"/>
        <v/>
      </c>
      <c r="N20" s="25"/>
      <c r="O20" s="31">
        <f t="shared" si="4"/>
        <v>0</v>
      </c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 ht="12.75" customHeight="1">
      <c r="A21" s="55">
        <v>17.0</v>
      </c>
      <c r="B21" s="36"/>
      <c r="C21" s="28"/>
      <c r="D21" s="28"/>
      <c r="E21" s="30"/>
      <c r="F21" s="30"/>
      <c r="G21" s="30"/>
      <c r="H21" s="30"/>
      <c r="I21" s="30"/>
      <c r="J21" s="30" t="str">
        <f t="shared" si="1"/>
        <v/>
      </c>
      <c r="K21" s="30"/>
      <c r="L21" s="30" t="str">
        <f t="shared" si="2"/>
        <v/>
      </c>
      <c r="M21" s="30" t="str">
        <f t="shared" si="3"/>
        <v/>
      </c>
      <c r="N21" s="25"/>
      <c r="O21" s="31">
        <f t="shared" si="4"/>
        <v>0</v>
      </c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 ht="12.75" customHeight="1">
      <c r="A22" s="55">
        <v>18.0</v>
      </c>
      <c r="B22" s="36"/>
      <c r="C22" s="33"/>
      <c r="D22" s="33"/>
      <c r="E22" s="35"/>
      <c r="F22" s="35"/>
      <c r="G22" s="35"/>
      <c r="H22" s="35"/>
      <c r="I22" s="35"/>
      <c r="J22" s="35" t="str">
        <f t="shared" si="1"/>
        <v/>
      </c>
      <c r="K22" s="35"/>
      <c r="L22" s="35" t="str">
        <f t="shared" si="2"/>
        <v/>
      </c>
      <c r="M22" s="35" t="str">
        <f t="shared" si="3"/>
        <v/>
      </c>
      <c r="N22" s="25"/>
      <c r="O22" s="31">
        <f t="shared" si="4"/>
        <v>0</v>
      </c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 ht="12.75" customHeight="1">
      <c r="A23" s="55">
        <v>19.0</v>
      </c>
      <c r="B23" s="36"/>
      <c r="C23" s="28"/>
      <c r="D23" s="28"/>
      <c r="E23" s="30"/>
      <c r="F23" s="30"/>
      <c r="G23" s="30"/>
      <c r="H23" s="30"/>
      <c r="I23" s="30"/>
      <c r="J23" s="30" t="str">
        <f t="shared" si="1"/>
        <v/>
      </c>
      <c r="K23" s="30"/>
      <c r="L23" s="30" t="str">
        <f t="shared" si="2"/>
        <v/>
      </c>
      <c r="M23" s="30" t="str">
        <f t="shared" si="3"/>
        <v/>
      </c>
      <c r="N23" s="25"/>
      <c r="O23" s="31">
        <f t="shared" si="4"/>
        <v>0</v>
      </c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 ht="12.75" customHeight="1">
      <c r="A24" s="55">
        <v>20.0</v>
      </c>
      <c r="B24" s="36"/>
      <c r="C24" s="28"/>
      <c r="D24" s="28"/>
      <c r="E24" s="30"/>
      <c r="F24" s="30"/>
      <c r="G24" s="30"/>
      <c r="H24" s="30"/>
      <c r="I24" s="30"/>
      <c r="J24" s="30" t="str">
        <f t="shared" si="1"/>
        <v/>
      </c>
      <c r="K24" s="30"/>
      <c r="L24" s="30" t="str">
        <f t="shared" si="2"/>
        <v/>
      </c>
      <c r="M24" s="30" t="str">
        <f t="shared" si="3"/>
        <v/>
      </c>
      <c r="N24" s="25"/>
      <c r="O24" s="31">
        <f t="shared" si="4"/>
        <v>0</v>
      </c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 ht="12.75" customHeight="1">
      <c r="A25" s="55">
        <v>21.0</v>
      </c>
      <c r="B25" s="36"/>
      <c r="C25" s="28"/>
      <c r="D25" s="28"/>
      <c r="E25" s="30"/>
      <c r="F25" s="30"/>
      <c r="G25" s="30"/>
      <c r="H25" s="30"/>
      <c r="I25" s="30"/>
      <c r="J25" s="30" t="str">
        <f t="shared" si="1"/>
        <v/>
      </c>
      <c r="K25" s="30"/>
      <c r="L25" s="30" t="str">
        <f t="shared" si="2"/>
        <v/>
      </c>
      <c r="M25" s="30" t="str">
        <f t="shared" si="3"/>
        <v/>
      </c>
      <c r="N25" s="25"/>
      <c r="O25" s="31">
        <f t="shared" si="4"/>
        <v>0</v>
      </c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 ht="12.75" customHeight="1">
      <c r="A26" s="55">
        <v>22.0</v>
      </c>
      <c r="B26" s="36"/>
      <c r="C26" s="28"/>
      <c r="D26" s="28"/>
      <c r="E26" s="30"/>
      <c r="F26" s="30"/>
      <c r="G26" s="30"/>
      <c r="H26" s="30"/>
      <c r="I26" s="30"/>
      <c r="J26" s="30" t="str">
        <f t="shared" si="1"/>
        <v/>
      </c>
      <c r="K26" s="30"/>
      <c r="L26" s="30" t="str">
        <f t="shared" si="2"/>
        <v/>
      </c>
      <c r="M26" s="30" t="str">
        <f t="shared" si="3"/>
        <v/>
      </c>
      <c r="N26" s="25"/>
      <c r="O26" s="31">
        <f t="shared" si="4"/>
        <v>0</v>
      </c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 ht="12.75" customHeight="1">
      <c r="A27" s="55">
        <v>23.0</v>
      </c>
      <c r="B27" s="36"/>
      <c r="C27" s="28"/>
      <c r="D27" s="28"/>
      <c r="E27" s="30"/>
      <c r="F27" s="30"/>
      <c r="G27" s="30"/>
      <c r="H27" s="30"/>
      <c r="I27" s="30"/>
      <c r="J27" s="30" t="str">
        <f t="shared" si="1"/>
        <v/>
      </c>
      <c r="K27" s="30"/>
      <c r="L27" s="30" t="str">
        <f t="shared" si="2"/>
        <v/>
      </c>
      <c r="M27" s="30" t="str">
        <f t="shared" si="3"/>
        <v/>
      </c>
      <c r="N27" s="25"/>
      <c r="O27" s="31">
        <f t="shared" si="4"/>
        <v>0</v>
      </c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 ht="12.75" customHeight="1">
      <c r="A28" s="55">
        <v>24.0</v>
      </c>
      <c r="B28" s="36"/>
      <c r="C28" s="28"/>
      <c r="D28" s="28"/>
      <c r="E28" s="30"/>
      <c r="F28" s="30"/>
      <c r="G28" s="30"/>
      <c r="H28" s="30"/>
      <c r="I28" s="30"/>
      <c r="J28" s="30">
        <v>54.39</v>
      </c>
      <c r="K28" s="30"/>
      <c r="L28" s="30" t="str">
        <f t="shared" si="2"/>
        <v/>
      </c>
      <c r="M28" s="30" t="str">
        <f t="shared" si="3"/>
        <v/>
      </c>
      <c r="N28" s="25"/>
      <c r="O28" s="31">
        <f t="shared" si="4"/>
        <v>0</v>
      </c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ht="12.75" customHeight="1">
      <c r="A29" s="55">
        <v>25.0</v>
      </c>
      <c r="B29" s="36"/>
      <c r="C29" s="28"/>
      <c r="D29" s="28"/>
      <c r="E29" s="30"/>
      <c r="F29" s="30"/>
      <c r="G29" s="30"/>
      <c r="H29" s="30"/>
      <c r="I29" s="30"/>
      <c r="J29" s="30" t="str">
        <f t="shared" ref="J29:J44" si="5">IF(MIN(E29:I29)&gt;0,MIN(E29:I29),IF(COUNTBLANK(E29:I29)=5,"","DNF"))</f>
        <v/>
      </c>
      <c r="K29" s="30"/>
      <c r="L29" s="30" t="str">
        <f t="shared" si="2"/>
        <v/>
      </c>
      <c r="M29" s="30" t="str">
        <f>IF(COUNTBLANK(E29:I29)&gt;0,"",IF(COUNTIF(E29:I29,"DNF")+COUNTIF(E29:I29,"DNS")&gt;1,"DNF",IF(COUNTIF(E29:I29,"DNF")+COUNTIF(E29:I29,"DNS")&gt;0,(SUM(E29:I29)-J29)/3,(SUM(E29:I29)-J29-L29)/3)))</f>
        <v/>
      </c>
      <c r="N29" s="25"/>
      <c r="O29" s="31">
        <f t="shared" si="4"/>
        <v>0</v>
      </c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 ht="12.75" customHeight="1">
      <c r="A30" s="55">
        <v>26.0</v>
      </c>
      <c r="B30" s="36"/>
      <c r="C30" s="28"/>
      <c r="D30" s="28"/>
      <c r="E30" s="30"/>
      <c r="F30" s="30"/>
      <c r="G30" s="30"/>
      <c r="H30" s="30"/>
      <c r="I30" s="30"/>
      <c r="J30" s="30" t="str">
        <f t="shared" si="5"/>
        <v/>
      </c>
      <c r="K30" s="30"/>
      <c r="L30" s="30" t="str">
        <f t="shared" si="2"/>
        <v/>
      </c>
      <c r="M30" s="30" t="str">
        <f t="shared" ref="M30:M42" si="6">IF(COUNTBLANK(E30:I30)&gt;0,"",IF(COUNTIF(E30:I30,"DNF")+COUNTIF(E30:I30,"DNS")&gt;1,"DNF",ROUND(IF(COUNTIF(E30:I30,"DNF")+COUNTIF(E30:I30,"DNS")&gt;0,(SUM(E30:I30)-J30)/3,(SUM(E30:I30)-J30-L30)/3),2)))</f>
        <v/>
      </c>
      <c r="N30" s="25"/>
      <c r="O30" s="31">
        <f t="shared" si="4"/>
        <v>0</v>
      </c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 ht="12.75" customHeight="1">
      <c r="A31" s="55">
        <v>27.0</v>
      </c>
      <c r="B31" s="36"/>
      <c r="C31" s="28"/>
      <c r="D31" s="28"/>
      <c r="E31" s="30"/>
      <c r="F31" s="30"/>
      <c r="G31" s="30"/>
      <c r="H31" s="30"/>
      <c r="I31" s="30"/>
      <c r="J31" s="30" t="str">
        <f t="shared" si="5"/>
        <v/>
      </c>
      <c r="K31" s="30"/>
      <c r="L31" s="30" t="str">
        <f t="shared" si="2"/>
        <v/>
      </c>
      <c r="M31" s="30" t="str">
        <f t="shared" si="6"/>
        <v/>
      </c>
      <c r="N31" s="25"/>
      <c r="O31" s="31">
        <f t="shared" si="4"/>
        <v>0</v>
      </c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 ht="12.75" customHeight="1">
      <c r="A32" s="55">
        <v>28.0</v>
      </c>
      <c r="B32" s="36"/>
      <c r="C32" s="28"/>
      <c r="D32" s="28"/>
      <c r="E32" s="30"/>
      <c r="F32" s="30"/>
      <c r="G32" s="30"/>
      <c r="H32" s="30"/>
      <c r="I32" s="30"/>
      <c r="J32" s="30" t="str">
        <f t="shared" si="5"/>
        <v/>
      </c>
      <c r="K32" s="30"/>
      <c r="L32" s="30" t="str">
        <f t="shared" si="2"/>
        <v/>
      </c>
      <c r="M32" s="30" t="str">
        <f t="shared" si="6"/>
        <v/>
      </c>
      <c r="N32" s="25"/>
      <c r="O32" s="31">
        <f t="shared" si="4"/>
        <v>0</v>
      </c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 ht="12.75" customHeight="1">
      <c r="A33" s="55">
        <v>29.0</v>
      </c>
      <c r="B33" s="36"/>
      <c r="C33" s="28"/>
      <c r="D33" s="28"/>
      <c r="E33" s="30"/>
      <c r="F33" s="30"/>
      <c r="G33" s="30"/>
      <c r="H33" s="30"/>
      <c r="I33" s="30"/>
      <c r="J33" s="30" t="str">
        <f t="shared" si="5"/>
        <v/>
      </c>
      <c r="K33" s="30"/>
      <c r="L33" s="30" t="str">
        <f t="shared" si="2"/>
        <v/>
      </c>
      <c r="M33" s="30" t="str">
        <f t="shared" si="6"/>
        <v/>
      </c>
      <c r="N33" s="25"/>
      <c r="O33" s="31">
        <f t="shared" si="4"/>
        <v>0</v>
      </c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ht="12.75" customHeight="1">
      <c r="A34" s="55">
        <v>30.0</v>
      </c>
      <c r="B34" s="36"/>
      <c r="C34" s="28"/>
      <c r="D34" s="28"/>
      <c r="E34" s="30"/>
      <c r="F34" s="30"/>
      <c r="G34" s="30"/>
      <c r="H34" s="30"/>
      <c r="I34" s="30"/>
      <c r="J34" s="30" t="str">
        <f t="shared" si="5"/>
        <v/>
      </c>
      <c r="K34" s="30"/>
      <c r="L34" s="30" t="str">
        <f t="shared" si="2"/>
        <v/>
      </c>
      <c r="M34" s="30" t="str">
        <f t="shared" si="6"/>
        <v/>
      </c>
      <c r="N34" s="25"/>
      <c r="O34" s="31">
        <f t="shared" si="4"/>
        <v>0</v>
      </c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 ht="12.75" customHeight="1">
      <c r="A35" s="55">
        <v>31.0</v>
      </c>
      <c r="B35" s="36"/>
      <c r="C35" s="28"/>
      <c r="D35" s="28"/>
      <c r="E35" s="30"/>
      <c r="F35" s="30"/>
      <c r="G35" s="30"/>
      <c r="H35" s="30"/>
      <c r="I35" s="30"/>
      <c r="J35" s="30" t="str">
        <f t="shared" si="5"/>
        <v/>
      </c>
      <c r="K35" s="30"/>
      <c r="L35" s="30" t="str">
        <f t="shared" si="2"/>
        <v/>
      </c>
      <c r="M35" s="30" t="str">
        <f t="shared" si="6"/>
        <v/>
      </c>
      <c r="N35" s="25"/>
      <c r="O35" s="31">
        <f t="shared" si="4"/>
        <v>0</v>
      </c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 ht="12.75" customHeight="1">
      <c r="A36" s="55">
        <v>32.0</v>
      </c>
      <c r="B36" s="36"/>
      <c r="C36" s="28"/>
      <c r="D36" s="28"/>
      <c r="E36" s="30"/>
      <c r="F36" s="30"/>
      <c r="G36" s="30"/>
      <c r="H36" s="30"/>
      <c r="I36" s="30"/>
      <c r="J36" s="30" t="str">
        <f t="shared" si="5"/>
        <v/>
      </c>
      <c r="K36" s="30"/>
      <c r="L36" s="30" t="str">
        <f t="shared" si="2"/>
        <v/>
      </c>
      <c r="M36" s="30" t="str">
        <f t="shared" si="6"/>
        <v/>
      </c>
      <c r="N36" s="25"/>
      <c r="O36" s="31">
        <f t="shared" si="4"/>
        <v>0</v>
      </c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 ht="12.75" customHeight="1">
      <c r="A37" s="55">
        <v>33.0</v>
      </c>
      <c r="B37" s="36"/>
      <c r="C37" s="28"/>
      <c r="D37" s="28"/>
      <c r="E37" s="30"/>
      <c r="F37" s="30"/>
      <c r="G37" s="30"/>
      <c r="H37" s="30"/>
      <c r="I37" s="30"/>
      <c r="J37" s="30" t="str">
        <f t="shared" si="5"/>
        <v/>
      </c>
      <c r="K37" s="30"/>
      <c r="L37" s="30" t="str">
        <f t="shared" si="2"/>
        <v/>
      </c>
      <c r="M37" s="30" t="str">
        <f t="shared" si="6"/>
        <v/>
      </c>
      <c r="N37" s="25"/>
      <c r="O37" s="31">
        <f t="shared" si="4"/>
        <v>0</v>
      </c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ht="12.75" customHeight="1">
      <c r="A38" s="55">
        <v>34.0</v>
      </c>
      <c r="B38" s="36"/>
      <c r="C38" s="28"/>
      <c r="D38" s="28"/>
      <c r="E38" s="30"/>
      <c r="F38" s="30"/>
      <c r="G38" s="30"/>
      <c r="H38" s="30"/>
      <c r="I38" s="30"/>
      <c r="J38" s="30" t="str">
        <f t="shared" si="5"/>
        <v/>
      </c>
      <c r="K38" s="30"/>
      <c r="L38" s="30" t="str">
        <f t="shared" si="2"/>
        <v/>
      </c>
      <c r="M38" s="30" t="str">
        <f t="shared" si="6"/>
        <v/>
      </c>
      <c r="N38" s="25"/>
      <c r="O38" s="31">
        <f t="shared" si="4"/>
        <v>0</v>
      </c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 ht="12.75" customHeight="1">
      <c r="A39" s="55">
        <v>35.0</v>
      </c>
      <c r="B39" s="36"/>
      <c r="C39" s="28"/>
      <c r="D39" s="28"/>
      <c r="E39" s="30"/>
      <c r="F39" s="30"/>
      <c r="G39" s="30"/>
      <c r="H39" s="30"/>
      <c r="I39" s="30"/>
      <c r="J39" s="30" t="str">
        <f t="shared" si="5"/>
        <v/>
      </c>
      <c r="K39" s="30"/>
      <c r="L39" s="30" t="str">
        <f t="shared" si="2"/>
        <v/>
      </c>
      <c r="M39" s="30" t="str">
        <f t="shared" si="6"/>
        <v/>
      </c>
      <c r="N39" s="25"/>
      <c r="O39" s="31">
        <f t="shared" si="4"/>
        <v>0</v>
      </c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 ht="12.75" customHeight="1">
      <c r="A40" s="55">
        <v>36.0</v>
      </c>
      <c r="B40" s="36"/>
      <c r="C40" s="28"/>
      <c r="D40" s="28"/>
      <c r="E40" s="30"/>
      <c r="F40" s="30"/>
      <c r="G40" s="30"/>
      <c r="H40" s="30"/>
      <c r="I40" s="30"/>
      <c r="J40" s="30" t="str">
        <f t="shared" si="5"/>
        <v/>
      </c>
      <c r="K40" s="30"/>
      <c r="L40" s="30" t="str">
        <f t="shared" si="2"/>
        <v/>
      </c>
      <c r="M40" s="30" t="str">
        <f t="shared" si="6"/>
        <v/>
      </c>
      <c r="N40" s="25"/>
      <c r="O40" s="31">
        <f t="shared" si="4"/>
        <v>0</v>
      </c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 ht="12.75" customHeight="1">
      <c r="A41" s="55">
        <v>37.0</v>
      </c>
      <c r="B41" s="36"/>
      <c r="C41" s="28"/>
      <c r="D41" s="28"/>
      <c r="E41" s="30"/>
      <c r="F41" s="30"/>
      <c r="G41" s="30"/>
      <c r="H41" s="30"/>
      <c r="I41" s="30"/>
      <c r="J41" s="30" t="str">
        <f t="shared" si="5"/>
        <v/>
      </c>
      <c r="K41" s="30"/>
      <c r="L41" s="30" t="str">
        <f t="shared" si="2"/>
        <v/>
      </c>
      <c r="M41" s="30" t="str">
        <f t="shared" si="6"/>
        <v/>
      </c>
      <c r="N41" s="25"/>
      <c r="O41" s="31">
        <f t="shared" si="4"/>
        <v>0</v>
      </c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 ht="12.75" customHeight="1">
      <c r="A42" s="55">
        <f>IF(AND(M41=M42,J41=J42),A41,ROW()-4)</f>
        <v>37</v>
      </c>
      <c r="B42" s="36"/>
      <c r="C42" s="28"/>
      <c r="D42" s="28"/>
      <c r="E42" s="30"/>
      <c r="F42" s="30"/>
      <c r="G42" s="30"/>
      <c r="H42" s="30"/>
      <c r="I42" s="30"/>
      <c r="J42" s="30" t="str">
        <f t="shared" si="5"/>
        <v/>
      </c>
      <c r="K42" s="30"/>
      <c r="L42" s="30" t="str">
        <f t="shared" si="2"/>
        <v/>
      </c>
      <c r="M42" s="30" t="str">
        <f t="shared" si="6"/>
        <v/>
      </c>
      <c r="N42" s="25"/>
      <c r="O42" s="31">
        <f t="shared" si="4"/>
        <v>0</v>
      </c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</row>
    <row r="43" ht="12.75" customHeight="1">
      <c r="A43" s="55">
        <v>15.0</v>
      </c>
      <c r="B43" s="36"/>
      <c r="E43" s="44"/>
      <c r="F43" s="44"/>
      <c r="G43" s="44"/>
      <c r="H43" s="44"/>
      <c r="I43" s="44"/>
      <c r="J43" s="44" t="str">
        <f t="shared" si="5"/>
        <v/>
      </c>
      <c r="K43" s="45"/>
      <c r="L43" s="44" t="str">
        <f t="shared" si="2"/>
        <v/>
      </c>
      <c r="M43" s="44" t="str">
        <f>IF(COUNTBLANK(E43:I43)&gt;0,"",IF(COUNTIF(E43:I43,"DNF")+COUNTIF(E43:I43,"DNS")&gt;1,"DNF",IF(COUNTIF(E43:I43,"DNF")+COUNTIF(E43:I43,"DNS")&gt;0,(SUM(E43:I43)-J43)/3,(SUM(E43:I43)-J43-L43)/3)))</f>
        <v/>
      </c>
      <c r="N43" s="25"/>
      <c r="O43" s="31">
        <f t="shared" si="4"/>
        <v>0</v>
      </c>
    </row>
    <row r="44" ht="12.75" customHeight="1">
      <c r="E44" s="35"/>
      <c r="F44" s="35"/>
      <c r="G44" s="35"/>
      <c r="H44" s="35"/>
      <c r="I44" s="35"/>
      <c r="J44" s="35" t="str">
        <f t="shared" si="5"/>
        <v/>
      </c>
      <c r="K44" s="35"/>
      <c r="L44" s="35" t="str">
        <f t="shared" si="2"/>
        <v/>
      </c>
      <c r="M44" s="35" t="str">
        <f>IF(COUNTBLANK(E44:I44)&gt;0,"",IF(COUNTIF(E44:I44,"DNF")+COUNTIF(E44:I44,"DNS")&gt;1,"DNF",ROUND(IF(COUNTIF(E44:I44,"DNF")+COUNTIF(E44:I44,"DNS")&gt;0,(SUM(E44:I44)-J44)/3,(SUM(E44:I44)-J44-L44)/3),2)))</f>
        <v/>
      </c>
      <c r="N44" s="25"/>
      <c r="O44" s="31">
        <f t="shared" si="4"/>
        <v>0</v>
      </c>
    </row>
    <row r="45" ht="12.75" customHeight="1">
      <c r="E45" s="40"/>
      <c r="F45" s="40"/>
      <c r="G45" s="40"/>
      <c r="H45" s="40"/>
      <c r="I45" s="40"/>
      <c r="J45" s="40"/>
      <c r="K45" s="40"/>
      <c r="L45" s="40"/>
      <c r="M45" s="40"/>
    </row>
    <row r="46" ht="12.75" customHeight="1">
      <c r="E46" s="40"/>
      <c r="F46" s="40"/>
      <c r="G46" s="40"/>
      <c r="H46" s="40"/>
      <c r="I46" s="40"/>
      <c r="J46" s="40"/>
      <c r="K46" s="40"/>
      <c r="L46" s="40"/>
      <c r="M46" s="40"/>
    </row>
    <row r="47" ht="12.75" customHeight="1">
      <c r="E47" s="40"/>
      <c r="F47" s="40"/>
      <c r="G47" s="40"/>
      <c r="H47" s="40"/>
      <c r="I47" s="40"/>
      <c r="J47" s="40"/>
      <c r="K47" s="40"/>
      <c r="L47" s="40"/>
      <c r="M47" s="40"/>
    </row>
    <row r="48" ht="12.75" customHeight="1">
      <c r="E48" s="40"/>
      <c r="F48" s="40"/>
      <c r="G48" s="40"/>
      <c r="H48" s="40"/>
      <c r="I48" s="40"/>
      <c r="J48" s="40"/>
      <c r="K48" s="40"/>
      <c r="L48" s="40"/>
      <c r="M48" s="40"/>
    </row>
    <row r="49" ht="12.75" customHeight="1">
      <c r="E49" s="40"/>
      <c r="F49" s="40"/>
      <c r="G49" s="40"/>
      <c r="H49" s="40"/>
      <c r="I49" s="40"/>
      <c r="J49" s="40"/>
      <c r="K49" s="40"/>
      <c r="L49" s="40"/>
      <c r="M49" s="40"/>
    </row>
    <row r="50" ht="12.75" customHeight="1">
      <c r="E50" s="40"/>
      <c r="F50" s="40"/>
      <c r="G50" s="40"/>
      <c r="H50" s="40"/>
      <c r="I50" s="40"/>
      <c r="J50" s="40"/>
      <c r="K50" s="40"/>
      <c r="L50" s="40"/>
      <c r="M50" s="40"/>
    </row>
    <row r="51" ht="12.75" customHeight="1">
      <c r="E51" s="40"/>
      <c r="F51" s="40"/>
      <c r="G51" s="40"/>
      <c r="H51" s="40"/>
      <c r="I51" s="40"/>
      <c r="J51" s="40"/>
      <c r="K51" s="40"/>
      <c r="L51" s="40"/>
      <c r="M51" s="40"/>
    </row>
    <row r="52" ht="12.75" customHeight="1">
      <c r="E52" s="40"/>
      <c r="F52" s="40"/>
      <c r="G52" s="40"/>
      <c r="H52" s="40"/>
      <c r="I52" s="40"/>
      <c r="J52" s="40"/>
      <c r="K52" s="40"/>
      <c r="L52" s="40"/>
      <c r="M52" s="40"/>
    </row>
    <row r="53" ht="12.75" customHeight="1">
      <c r="E53" s="40"/>
      <c r="F53" s="40"/>
      <c r="G53" s="40"/>
      <c r="H53" s="40"/>
      <c r="I53" s="40"/>
      <c r="J53" s="40"/>
      <c r="K53" s="40"/>
      <c r="L53" s="40"/>
      <c r="M53" s="40"/>
    </row>
    <row r="54" ht="12.75" customHeight="1">
      <c r="E54" s="40"/>
      <c r="F54" s="40"/>
      <c r="G54" s="40"/>
      <c r="H54" s="40"/>
      <c r="I54" s="40"/>
      <c r="J54" s="40"/>
      <c r="K54" s="40"/>
      <c r="L54" s="40"/>
      <c r="M54" s="40"/>
    </row>
    <row r="55" ht="12.75" customHeight="1">
      <c r="E55" s="40"/>
      <c r="F55" s="40"/>
      <c r="G55" s="40"/>
      <c r="H55" s="40"/>
      <c r="I55" s="40"/>
      <c r="J55" s="40"/>
      <c r="K55" s="40"/>
      <c r="L55" s="40"/>
      <c r="M55" s="40"/>
    </row>
    <row r="56" ht="12.75" customHeight="1">
      <c r="E56" s="40"/>
      <c r="F56" s="40"/>
      <c r="G56" s="40"/>
      <c r="H56" s="40"/>
      <c r="I56" s="40"/>
      <c r="J56" s="40"/>
      <c r="K56" s="40"/>
      <c r="L56" s="40"/>
      <c r="M56" s="40"/>
    </row>
    <row r="57" ht="12.75" customHeight="1">
      <c r="E57" s="40"/>
      <c r="F57" s="40"/>
      <c r="G57" s="40"/>
      <c r="H57" s="40"/>
      <c r="I57" s="40"/>
      <c r="J57" s="40"/>
      <c r="K57" s="40"/>
      <c r="L57" s="40"/>
      <c r="M57" s="40"/>
    </row>
    <row r="58" ht="12.75" customHeight="1">
      <c r="E58" s="40"/>
      <c r="F58" s="40"/>
      <c r="G58" s="40"/>
      <c r="H58" s="40"/>
      <c r="I58" s="40"/>
      <c r="J58" s="40"/>
      <c r="K58" s="40"/>
      <c r="L58" s="40"/>
      <c r="M58" s="40"/>
    </row>
    <row r="59" ht="12.75" customHeight="1">
      <c r="E59" s="40"/>
      <c r="F59" s="40"/>
      <c r="G59" s="40"/>
      <c r="H59" s="40"/>
      <c r="I59" s="40"/>
      <c r="J59" s="40"/>
      <c r="K59" s="40"/>
      <c r="L59" s="40"/>
      <c r="M59" s="40"/>
    </row>
    <row r="60" ht="12.75" customHeight="1">
      <c r="E60" s="40"/>
      <c r="F60" s="40"/>
      <c r="G60" s="40"/>
      <c r="H60" s="40"/>
      <c r="I60" s="40"/>
      <c r="J60" s="40"/>
      <c r="K60" s="40"/>
      <c r="L60" s="40"/>
      <c r="M60" s="40"/>
    </row>
    <row r="61" ht="12.75" customHeight="1">
      <c r="E61" s="40"/>
      <c r="F61" s="40"/>
      <c r="G61" s="40"/>
      <c r="H61" s="40"/>
      <c r="I61" s="40"/>
      <c r="J61" s="40"/>
      <c r="K61" s="40"/>
      <c r="L61" s="40"/>
      <c r="M61" s="40"/>
    </row>
    <row r="62" ht="12.75" customHeight="1">
      <c r="E62" s="40"/>
      <c r="F62" s="40"/>
      <c r="G62" s="40"/>
      <c r="H62" s="40"/>
      <c r="I62" s="40"/>
      <c r="J62" s="40"/>
      <c r="K62" s="40"/>
      <c r="L62" s="40"/>
      <c r="M62" s="40"/>
    </row>
    <row r="63" ht="12.75" customHeight="1">
      <c r="E63" s="40"/>
      <c r="F63" s="40"/>
      <c r="G63" s="40"/>
      <c r="H63" s="40"/>
      <c r="I63" s="40"/>
      <c r="J63" s="40"/>
      <c r="K63" s="40"/>
      <c r="L63" s="40"/>
      <c r="M63" s="40"/>
    </row>
    <row r="64" ht="12.75" customHeight="1">
      <c r="E64" s="40"/>
      <c r="F64" s="40"/>
      <c r="G64" s="40"/>
      <c r="H64" s="40"/>
      <c r="I64" s="40"/>
      <c r="J64" s="40"/>
      <c r="K64" s="40"/>
      <c r="L64" s="40"/>
      <c r="M64" s="40"/>
    </row>
    <row r="65" ht="12.75" customHeight="1">
      <c r="E65" s="40"/>
      <c r="F65" s="40"/>
      <c r="G65" s="40"/>
      <c r="H65" s="40"/>
      <c r="I65" s="40"/>
      <c r="J65" s="40"/>
      <c r="K65" s="40"/>
      <c r="L65" s="40"/>
      <c r="M65" s="40"/>
    </row>
    <row r="66" ht="12.75" customHeight="1">
      <c r="E66" s="40"/>
      <c r="F66" s="40"/>
      <c r="G66" s="40"/>
      <c r="H66" s="40"/>
      <c r="I66" s="40"/>
      <c r="J66" s="40"/>
      <c r="K66" s="40"/>
      <c r="L66" s="40"/>
      <c r="M66" s="40"/>
    </row>
    <row r="67" ht="12.75" customHeight="1">
      <c r="E67" s="40"/>
      <c r="F67" s="40"/>
      <c r="G67" s="40"/>
      <c r="H67" s="40"/>
      <c r="I67" s="40"/>
      <c r="J67" s="40"/>
      <c r="K67" s="40"/>
      <c r="L67" s="40"/>
      <c r="M67" s="40"/>
    </row>
    <row r="68" ht="12.75" customHeight="1">
      <c r="E68" s="40"/>
      <c r="F68" s="40"/>
      <c r="G68" s="40"/>
      <c r="H68" s="40"/>
      <c r="I68" s="40"/>
      <c r="J68" s="40"/>
      <c r="K68" s="40"/>
      <c r="L68" s="40"/>
      <c r="M68" s="40"/>
    </row>
    <row r="69" ht="12.75" customHeight="1">
      <c r="E69" s="40"/>
      <c r="F69" s="40"/>
      <c r="G69" s="40"/>
      <c r="H69" s="40"/>
      <c r="I69" s="40"/>
      <c r="J69" s="40"/>
      <c r="K69" s="40"/>
      <c r="L69" s="40"/>
      <c r="M69" s="40"/>
    </row>
    <row r="70" ht="12.75" customHeight="1">
      <c r="E70" s="40"/>
      <c r="F70" s="40"/>
      <c r="G70" s="40"/>
      <c r="H70" s="40"/>
      <c r="I70" s="40"/>
      <c r="J70" s="40"/>
      <c r="K70" s="40"/>
      <c r="L70" s="40"/>
      <c r="M70" s="40"/>
    </row>
    <row r="71" ht="12.75" customHeight="1">
      <c r="E71" s="40"/>
      <c r="F71" s="40"/>
      <c r="G71" s="40"/>
      <c r="H71" s="40"/>
      <c r="I71" s="40"/>
      <c r="J71" s="40"/>
      <c r="K71" s="40"/>
      <c r="L71" s="40"/>
      <c r="M71" s="40"/>
    </row>
    <row r="72" ht="12.75" customHeight="1">
      <c r="E72" s="40"/>
      <c r="F72" s="40"/>
      <c r="G72" s="40"/>
      <c r="H72" s="40"/>
      <c r="I72" s="40"/>
      <c r="J72" s="40"/>
      <c r="K72" s="40"/>
      <c r="L72" s="40"/>
      <c r="M72" s="40"/>
    </row>
    <row r="73" ht="12.75" customHeight="1">
      <c r="E73" s="40"/>
      <c r="F73" s="40"/>
      <c r="G73" s="40"/>
      <c r="H73" s="40"/>
      <c r="I73" s="40"/>
      <c r="J73" s="40"/>
      <c r="K73" s="40"/>
      <c r="L73" s="40"/>
      <c r="M73" s="40"/>
    </row>
    <row r="74" ht="12.75" customHeight="1">
      <c r="E74" s="40"/>
      <c r="F74" s="40"/>
      <c r="G74" s="40"/>
      <c r="H74" s="40"/>
      <c r="I74" s="40"/>
      <c r="J74" s="40"/>
      <c r="K74" s="40"/>
      <c r="L74" s="40"/>
      <c r="M74" s="40"/>
    </row>
    <row r="75" ht="12.75" customHeight="1">
      <c r="E75" s="40"/>
      <c r="F75" s="40"/>
      <c r="G75" s="40"/>
      <c r="H75" s="40"/>
      <c r="I75" s="40"/>
      <c r="J75" s="40"/>
      <c r="K75" s="40"/>
      <c r="L75" s="40"/>
      <c r="M75" s="40"/>
    </row>
    <row r="76" ht="12.75" customHeight="1">
      <c r="E76" s="40"/>
      <c r="F76" s="40"/>
      <c r="G76" s="40"/>
      <c r="H76" s="40"/>
      <c r="I76" s="40"/>
      <c r="J76" s="40"/>
      <c r="K76" s="40"/>
      <c r="L76" s="40"/>
      <c r="M76" s="40"/>
    </row>
    <row r="77" ht="12.75" customHeight="1">
      <c r="E77" s="40"/>
      <c r="F77" s="40"/>
      <c r="G77" s="40"/>
      <c r="H77" s="40"/>
      <c r="I77" s="40"/>
      <c r="J77" s="40"/>
      <c r="K77" s="40"/>
      <c r="L77" s="40"/>
      <c r="M77" s="40"/>
    </row>
    <row r="78" ht="12.75" customHeight="1">
      <c r="E78" s="40"/>
      <c r="F78" s="40"/>
      <c r="G78" s="40"/>
      <c r="H78" s="40"/>
      <c r="I78" s="40"/>
      <c r="J78" s="40"/>
      <c r="K78" s="40"/>
      <c r="L78" s="40"/>
      <c r="M78" s="40"/>
    </row>
    <row r="79" ht="12.75" customHeight="1">
      <c r="E79" s="40"/>
      <c r="F79" s="40"/>
      <c r="G79" s="40"/>
      <c r="H79" s="40"/>
      <c r="I79" s="40"/>
      <c r="J79" s="40"/>
      <c r="K79" s="40"/>
      <c r="L79" s="40"/>
      <c r="M79" s="40"/>
    </row>
    <row r="80" ht="12.75" customHeight="1">
      <c r="E80" s="40"/>
      <c r="F80" s="40"/>
      <c r="G80" s="40"/>
      <c r="H80" s="40"/>
      <c r="I80" s="40"/>
      <c r="J80" s="40"/>
      <c r="K80" s="40"/>
      <c r="L80" s="40"/>
      <c r="M80" s="40"/>
    </row>
    <row r="81" ht="12.75" customHeight="1">
      <c r="E81" s="40"/>
      <c r="F81" s="40"/>
      <c r="G81" s="40"/>
      <c r="H81" s="40"/>
      <c r="I81" s="40"/>
      <c r="J81" s="40"/>
      <c r="K81" s="40"/>
      <c r="L81" s="40"/>
      <c r="M81" s="40"/>
    </row>
    <row r="82" ht="12.75" customHeight="1">
      <c r="E82" s="40"/>
      <c r="F82" s="40"/>
      <c r="G82" s="40"/>
      <c r="H82" s="40"/>
      <c r="I82" s="40"/>
      <c r="J82" s="40"/>
      <c r="K82" s="40"/>
      <c r="L82" s="40"/>
      <c r="M82" s="40"/>
    </row>
    <row r="83" ht="12.75" customHeight="1">
      <c r="E83" s="40"/>
      <c r="F83" s="40"/>
      <c r="G83" s="40"/>
      <c r="H83" s="40"/>
      <c r="I83" s="40"/>
      <c r="J83" s="40"/>
      <c r="K83" s="40"/>
      <c r="L83" s="40"/>
      <c r="M83" s="40"/>
    </row>
    <row r="84" ht="12.75" customHeight="1">
      <c r="E84" s="40"/>
      <c r="F84" s="40"/>
      <c r="G84" s="40"/>
      <c r="H84" s="40"/>
      <c r="I84" s="40"/>
      <c r="J84" s="40"/>
      <c r="K84" s="40"/>
      <c r="L84" s="40"/>
      <c r="M84" s="40"/>
    </row>
    <row r="85" ht="12.75" customHeight="1">
      <c r="E85" s="40"/>
      <c r="F85" s="40"/>
      <c r="G85" s="40"/>
      <c r="H85" s="40"/>
      <c r="I85" s="40"/>
      <c r="J85" s="40"/>
      <c r="K85" s="40"/>
      <c r="L85" s="40"/>
      <c r="M85" s="40"/>
    </row>
    <row r="86" ht="12.75" customHeight="1">
      <c r="E86" s="40"/>
      <c r="F86" s="40"/>
      <c r="G86" s="40"/>
      <c r="H86" s="40"/>
      <c r="I86" s="40"/>
      <c r="J86" s="40"/>
      <c r="K86" s="40"/>
      <c r="L86" s="40"/>
      <c r="M86" s="40"/>
    </row>
    <row r="87" ht="12.75" customHeight="1">
      <c r="E87" s="40"/>
      <c r="F87" s="40"/>
      <c r="G87" s="40"/>
      <c r="H87" s="40"/>
      <c r="I87" s="40"/>
      <c r="J87" s="40"/>
      <c r="K87" s="40"/>
      <c r="L87" s="40"/>
      <c r="M87" s="40"/>
    </row>
    <row r="88" ht="12.75" customHeight="1">
      <c r="E88" s="40"/>
      <c r="F88" s="40"/>
      <c r="G88" s="40"/>
      <c r="H88" s="40"/>
      <c r="I88" s="40"/>
      <c r="J88" s="40"/>
      <c r="K88" s="40"/>
      <c r="L88" s="40"/>
      <c r="M88" s="40"/>
    </row>
    <row r="89" ht="12.75" customHeight="1">
      <c r="E89" s="40"/>
      <c r="F89" s="40"/>
      <c r="G89" s="40"/>
      <c r="H89" s="40"/>
      <c r="I89" s="40"/>
      <c r="J89" s="40"/>
      <c r="K89" s="40"/>
      <c r="L89" s="40"/>
      <c r="M89" s="40"/>
    </row>
    <row r="90" ht="12.75" customHeight="1">
      <c r="E90" s="40"/>
      <c r="F90" s="40"/>
      <c r="G90" s="40"/>
      <c r="H90" s="40"/>
      <c r="I90" s="40"/>
      <c r="J90" s="40"/>
      <c r="K90" s="40"/>
      <c r="L90" s="40"/>
      <c r="M90" s="40"/>
    </row>
    <row r="91" ht="12.75" customHeight="1">
      <c r="E91" s="40"/>
      <c r="F91" s="40"/>
      <c r="G91" s="40"/>
      <c r="H91" s="40"/>
      <c r="I91" s="40"/>
      <c r="J91" s="40"/>
      <c r="K91" s="40"/>
      <c r="L91" s="40"/>
      <c r="M91" s="40"/>
    </row>
    <row r="92" ht="12.75" customHeight="1">
      <c r="E92" s="40"/>
      <c r="F92" s="40"/>
      <c r="G92" s="40"/>
      <c r="H92" s="40"/>
      <c r="I92" s="40"/>
      <c r="J92" s="40"/>
      <c r="K92" s="40"/>
      <c r="L92" s="40"/>
      <c r="M92" s="40"/>
    </row>
    <row r="93" ht="12.75" customHeight="1">
      <c r="E93" s="40"/>
      <c r="F93" s="40"/>
      <c r="G93" s="40"/>
      <c r="H93" s="40"/>
      <c r="I93" s="40"/>
      <c r="J93" s="40"/>
      <c r="K93" s="40"/>
      <c r="L93" s="40"/>
      <c r="M93" s="40"/>
    </row>
    <row r="94" ht="12.75" customHeight="1">
      <c r="E94" s="40"/>
      <c r="F94" s="40"/>
      <c r="G94" s="40"/>
      <c r="H94" s="40"/>
      <c r="I94" s="40"/>
      <c r="J94" s="40"/>
      <c r="K94" s="40"/>
      <c r="L94" s="40"/>
      <c r="M94" s="40"/>
    </row>
    <row r="95" ht="12.75" customHeight="1">
      <c r="E95" s="40"/>
      <c r="F95" s="40"/>
      <c r="G95" s="40"/>
      <c r="H95" s="40"/>
      <c r="I95" s="40"/>
      <c r="J95" s="40"/>
      <c r="K95" s="40"/>
      <c r="L95" s="40"/>
      <c r="M95" s="40"/>
    </row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autoFilter ref="$A$4:$O$44">
    <sortState ref="A4:O44">
      <sortCondition ref="B4:B44"/>
    </sortState>
  </autoFilter>
  <printOptions/>
  <pageMargins bottom="1.0" footer="0.0" header="0.0" left="0.75" right="0.75" top="1.0"/>
  <pageSetup paperSize="9"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5.38"/>
    <col customWidth="1" min="2" max="2" width="38.25"/>
    <col customWidth="1" hidden="1" min="3" max="3" width="14.13"/>
    <col customWidth="1" hidden="1" min="4" max="4" width="19.13"/>
    <col customWidth="1" hidden="1" min="5" max="5" width="14.13"/>
    <col customWidth="1" hidden="1" min="6" max="7" width="10.63"/>
    <col customWidth="1" hidden="1" min="8" max="8" width="9.88"/>
    <col customWidth="1" hidden="1" min="9" max="9" width="11.88"/>
    <col customWidth="1" hidden="1" min="10" max="10" width="14.0"/>
    <col customWidth="1" hidden="1" min="11" max="11" width="8.13"/>
    <col customWidth="1" hidden="1" min="12" max="12" width="16.13"/>
    <col customWidth="1" min="13" max="13" width="13.63"/>
    <col customWidth="1" hidden="1" min="14" max="14" width="6.88"/>
    <col customWidth="1" min="15" max="15" width="25.38"/>
    <col customWidth="1" min="16" max="26" width="9.13"/>
  </cols>
  <sheetData>
    <row r="1" ht="12.75" customHeight="1">
      <c r="A1" s="78" t="s">
        <v>147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 ht="12.75" customHeight="1">
      <c r="A2" s="19" t="s">
        <v>28</v>
      </c>
      <c r="B2" s="19"/>
      <c r="C2" s="19"/>
      <c r="D2" s="19"/>
      <c r="E2" s="19"/>
      <c r="F2" s="20"/>
      <c r="K2" s="19"/>
      <c r="L2" s="19"/>
    </row>
    <row r="3" ht="12.75" customHeight="1">
      <c r="A3" s="19" t="s">
        <v>29</v>
      </c>
      <c r="B3" s="19"/>
      <c r="K3" s="19"/>
      <c r="L3" s="19"/>
    </row>
    <row r="4" ht="12.75" customHeight="1">
      <c r="A4" s="21" t="s">
        <v>30</v>
      </c>
      <c r="B4" s="21" t="s">
        <v>3</v>
      </c>
      <c r="C4" s="21" t="s">
        <v>4</v>
      </c>
      <c r="D4" s="21" t="s">
        <v>5</v>
      </c>
      <c r="E4" s="22">
        <v>1.0</v>
      </c>
      <c r="F4" s="22">
        <v>2.0</v>
      </c>
      <c r="G4" s="22">
        <v>3.0</v>
      </c>
      <c r="H4" s="22">
        <v>4.0</v>
      </c>
      <c r="I4" s="22">
        <v>5.0</v>
      </c>
      <c r="J4" s="22" t="s">
        <v>31</v>
      </c>
      <c r="K4" s="23" t="s">
        <v>32</v>
      </c>
      <c r="L4" s="22" t="s">
        <v>33</v>
      </c>
      <c r="M4" s="22" t="s">
        <v>34</v>
      </c>
      <c r="N4" s="18" t="s">
        <v>32</v>
      </c>
      <c r="O4" s="24" t="s">
        <v>35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 ht="12.75" customHeight="1">
      <c r="A5" s="80">
        <v>1.0</v>
      </c>
      <c r="B5" s="27" t="s">
        <v>43</v>
      </c>
      <c r="C5" s="33"/>
      <c r="D5" s="33"/>
      <c r="E5" s="29">
        <v>10.2</v>
      </c>
      <c r="F5" s="29">
        <v>10.47</v>
      </c>
      <c r="G5" s="29">
        <v>10.75</v>
      </c>
      <c r="H5" s="29">
        <v>12.0</v>
      </c>
      <c r="I5" s="29">
        <v>14.8</v>
      </c>
      <c r="J5" s="30">
        <f t="shared" ref="J5:J27" si="1">IF(MIN(E5:I5)&gt;0,MIN(E5:I5),IF(COUNTBLANK(E5:I5)=5,"","DNF"))</f>
        <v>10.2</v>
      </c>
      <c r="K5" s="30"/>
      <c r="L5" s="30">
        <f t="shared" ref="L5:L44" si="2">IF(COUNTBLANK(E5:I5)&gt;0,"",IF(COUNTIF(E5:I5,"DNF")+COUNTIF(E5:I5,"DNS")&gt;0,"DNF",MAX(E5:I5)))</f>
        <v>14.8</v>
      </c>
      <c r="M5" s="30">
        <f t="shared" ref="M5:M28" si="3">IF(COUNTBLANK(E5:I5)&gt;0,"",IF(COUNTIF(E5:I5,"DNF")+COUNTIF(E5:I5,"DNS")&gt;1,"DNF",ROUND(IF(COUNTIF(E5:I5,"DNF")+COUNTIF(E5:I5,"DNS")&gt;0,(SUM(E5:I5)-J5)/3,(SUM(E5:I5)-J5-L5)/3),2)))</f>
        <v>11.07</v>
      </c>
      <c r="N5" s="25"/>
      <c r="O5" s="31">
        <f t="shared" ref="O5:O44" si="4">M5/86400</f>
        <v>0.000128125</v>
      </c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</row>
    <row r="6" ht="12.75" customHeight="1">
      <c r="A6" s="80">
        <v>2.0</v>
      </c>
      <c r="B6" s="27" t="s">
        <v>76</v>
      </c>
      <c r="C6" s="28"/>
      <c r="D6" s="28"/>
      <c r="E6" s="29">
        <v>12.12</v>
      </c>
      <c r="F6" s="29">
        <v>16.24</v>
      </c>
      <c r="G6" s="29">
        <v>12.64</v>
      </c>
      <c r="H6" s="29">
        <v>12.64</v>
      </c>
      <c r="I6" s="29">
        <v>11.82</v>
      </c>
      <c r="J6" s="30">
        <f t="shared" si="1"/>
        <v>11.82</v>
      </c>
      <c r="K6" s="30"/>
      <c r="L6" s="30">
        <f t="shared" si="2"/>
        <v>16.24</v>
      </c>
      <c r="M6" s="30">
        <f t="shared" si="3"/>
        <v>12.47</v>
      </c>
      <c r="N6" s="25"/>
      <c r="O6" s="31">
        <f t="shared" si="4"/>
        <v>0.0001443287037</v>
      </c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</row>
    <row r="7" ht="12.75" customHeight="1">
      <c r="A7" s="80">
        <v>3.0</v>
      </c>
      <c r="B7" s="27" t="s">
        <v>148</v>
      </c>
      <c r="C7" s="41"/>
      <c r="D7" s="41"/>
      <c r="E7" s="29">
        <v>15.73</v>
      </c>
      <c r="F7" s="29">
        <v>10.85</v>
      </c>
      <c r="G7" s="29">
        <v>12.41</v>
      </c>
      <c r="H7" s="29">
        <v>12.96</v>
      </c>
      <c r="I7" s="29">
        <v>12.36</v>
      </c>
      <c r="J7" s="30">
        <f t="shared" si="1"/>
        <v>10.85</v>
      </c>
      <c r="K7" s="30"/>
      <c r="L7" s="30">
        <f t="shared" si="2"/>
        <v>15.73</v>
      </c>
      <c r="M7" s="30">
        <f t="shared" si="3"/>
        <v>12.58</v>
      </c>
      <c r="N7" s="25"/>
      <c r="O7" s="31">
        <f t="shared" si="4"/>
        <v>0.0001456018519</v>
      </c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</row>
    <row r="8" ht="12.75" customHeight="1">
      <c r="A8" s="80">
        <v>4.0</v>
      </c>
      <c r="B8" s="27" t="s">
        <v>149</v>
      </c>
      <c r="C8" s="33"/>
      <c r="D8" s="33"/>
      <c r="E8" s="29">
        <v>11.6</v>
      </c>
      <c r="F8" s="29">
        <v>10.87</v>
      </c>
      <c r="G8" s="29">
        <v>16.96</v>
      </c>
      <c r="H8" s="29">
        <v>16.0</v>
      </c>
      <c r="I8" s="29">
        <v>13.59</v>
      </c>
      <c r="J8" s="30">
        <f t="shared" si="1"/>
        <v>10.87</v>
      </c>
      <c r="K8" s="30"/>
      <c r="L8" s="30">
        <f t="shared" si="2"/>
        <v>16.96</v>
      </c>
      <c r="M8" s="30">
        <f t="shared" si="3"/>
        <v>13.73</v>
      </c>
      <c r="N8" s="25"/>
      <c r="O8" s="31">
        <f t="shared" si="4"/>
        <v>0.000158912037</v>
      </c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</row>
    <row r="9" ht="12.75" customHeight="1">
      <c r="A9" s="80">
        <v>5.0</v>
      </c>
      <c r="B9" s="27" t="s">
        <v>44</v>
      </c>
      <c r="C9" s="33"/>
      <c r="D9" s="33"/>
      <c r="E9" s="81">
        <v>16.8</v>
      </c>
      <c r="F9" s="29">
        <v>14.36</v>
      </c>
      <c r="G9" s="29">
        <v>14.37</v>
      </c>
      <c r="H9" s="29">
        <v>14.7</v>
      </c>
      <c r="I9" s="29">
        <v>13.28</v>
      </c>
      <c r="J9" s="30">
        <f t="shared" si="1"/>
        <v>13.28</v>
      </c>
      <c r="K9" s="30"/>
      <c r="L9" s="30">
        <f t="shared" si="2"/>
        <v>16.8</v>
      </c>
      <c r="M9" s="30">
        <f t="shared" si="3"/>
        <v>14.48</v>
      </c>
      <c r="N9" s="25"/>
      <c r="O9" s="31">
        <f t="shared" si="4"/>
        <v>0.0001675925926</v>
      </c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 ht="12.75" customHeight="1">
      <c r="A10" s="80">
        <v>6.0</v>
      </c>
      <c r="B10" s="27" t="s">
        <v>69</v>
      </c>
      <c r="C10" s="28"/>
      <c r="D10" s="28"/>
      <c r="E10" s="29">
        <v>11.82</v>
      </c>
      <c r="F10" s="29">
        <v>16.13</v>
      </c>
      <c r="G10" s="29">
        <v>14.71</v>
      </c>
      <c r="H10" s="29">
        <v>15.88</v>
      </c>
      <c r="I10" s="29">
        <v>18.91</v>
      </c>
      <c r="J10" s="30">
        <f t="shared" si="1"/>
        <v>11.82</v>
      </c>
      <c r="K10" s="30"/>
      <c r="L10" s="30">
        <f t="shared" si="2"/>
        <v>18.91</v>
      </c>
      <c r="M10" s="30">
        <f t="shared" si="3"/>
        <v>15.57</v>
      </c>
      <c r="N10" s="25"/>
      <c r="O10" s="31">
        <f t="shared" si="4"/>
        <v>0.0001802083333</v>
      </c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 ht="12.75" customHeight="1">
      <c r="A11" s="80">
        <v>7.0</v>
      </c>
      <c r="B11" s="27"/>
      <c r="C11" s="28"/>
      <c r="D11" s="28"/>
      <c r="E11" s="29"/>
      <c r="F11" s="29"/>
      <c r="G11" s="29"/>
      <c r="H11" s="29"/>
      <c r="I11" s="29"/>
      <c r="J11" s="30" t="str">
        <f t="shared" si="1"/>
        <v/>
      </c>
      <c r="K11" s="30"/>
      <c r="L11" s="30" t="str">
        <f t="shared" si="2"/>
        <v/>
      </c>
      <c r="M11" s="30" t="str">
        <f t="shared" si="3"/>
        <v/>
      </c>
      <c r="N11" s="25"/>
      <c r="O11" s="31">
        <f t="shared" si="4"/>
        <v>0</v>
      </c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 ht="12.75" customHeight="1">
      <c r="A12" s="80">
        <v>8.0</v>
      </c>
      <c r="B12" s="27"/>
      <c r="C12" s="28"/>
      <c r="D12" s="28"/>
      <c r="E12" s="29"/>
      <c r="F12" s="29"/>
      <c r="G12" s="29"/>
      <c r="H12" s="29"/>
      <c r="I12" s="29"/>
      <c r="J12" s="30" t="str">
        <f t="shared" si="1"/>
        <v/>
      </c>
      <c r="K12" s="30"/>
      <c r="L12" s="30" t="str">
        <f t="shared" si="2"/>
        <v/>
      </c>
      <c r="M12" s="30" t="str">
        <f t="shared" si="3"/>
        <v/>
      </c>
      <c r="N12" s="25"/>
      <c r="O12" s="31">
        <f t="shared" si="4"/>
        <v>0</v>
      </c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 ht="12.75" customHeight="1">
      <c r="A13" s="80">
        <v>9.0</v>
      </c>
      <c r="B13" s="27"/>
      <c r="C13" s="28"/>
      <c r="D13" s="28"/>
      <c r="E13" s="29"/>
      <c r="F13" s="29"/>
      <c r="G13" s="29"/>
      <c r="H13" s="29"/>
      <c r="I13" s="29"/>
      <c r="J13" s="30" t="str">
        <f t="shared" si="1"/>
        <v/>
      </c>
      <c r="K13" s="30"/>
      <c r="L13" s="30" t="str">
        <f t="shared" si="2"/>
        <v/>
      </c>
      <c r="M13" s="30" t="str">
        <f t="shared" si="3"/>
        <v/>
      </c>
      <c r="N13" s="25"/>
      <c r="O13" s="31">
        <f t="shared" si="4"/>
        <v>0</v>
      </c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 ht="12.75" customHeight="1">
      <c r="A14" s="80">
        <v>10.0</v>
      </c>
      <c r="B14" s="27"/>
      <c r="C14" s="28"/>
      <c r="D14" s="28"/>
      <c r="E14" s="29"/>
      <c r="F14" s="29"/>
      <c r="G14" s="29"/>
      <c r="H14" s="29"/>
      <c r="I14" s="29"/>
      <c r="J14" s="30" t="str">
        <f t="shared" si="1"/>
        <v/>
      </c>
      <c r="K14" s="30"/>
      <c r="L14" s="30" t="str">
        <f t="shared" si="2"/>
        <v/>
      </c>
      <c r="M14" s="30" t="str">
        <f t="shared" si="3"/>
        <v/>
      </c>
      <c r="N14" s="25"/>
      <c r="O14" s="31">
        <f t="shared" si="4"/>
        <v>0</v>
      </c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ht="12.75" customHeight="1">
      <c r="A15" s="80">
        <v>11.0</v>
      </c>
      <c r="B15" s="36"/>
      <c r="C15" s="28"/>
      <c r="D15" s="28"/>
      <c r="E15" s="30"/>
      <c r="F15" s="30"/>
      <c r="G15" s="30"/>
      <c r="H15" s="30"/>
      <c r="I15" s="30"/>
      <c r="J15" s="30" t="str">
        <f t="shared" si="1"/>
        <v/>
      </c>
      <c r="K15" s="30"/>
      <c r="L15" s="30" t="str">
        <f t="shared" si="2"/>
        <v/>
      </c>
      <c r="M15" s="30" t="str">
        <f t="shared" si="3"/>
        <v/>
      </c>
      <c r="N15" s="25"/>
      <c r="O15" s="31">
        <f t="shared" si="4"/>
        <v>0</v>
      </c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ht="12.75" customHeight="1">
      <c r="A16" s="80">
        <v>12.0</v>
      </c>
      <c r="B16" s="36"/>
      <c r="C16" s="28"/>
      <c r="D16" s="28"/>
      <c r="E16" s="30"/>
      <c r="F16" s="30"/>
      <c r="G16" s="30"/>
      <c r="H16" s="30"/>
      <c r="I16" s="30"/>
      <c r="J16" s="30" t="str">
        <f t="shared" si="1"/>
        <v/>
      </c>
      <c r="K16" s="30"/>
      <c r="L16" s="30" t="str">
        <f t="shared" si="2"/>
        <v/>
      </c>
      <c r="M16" s="30" t="str">
        <f t="shared" si="3"/>
        <v/>
      </c>
      <c r="N16" s="25"/>
      <c r="O16" s="31">
        <f t="shared" si="4"/>
        <v>0</v>
      </c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 ht="12.75" customHeight="1">
      <c r="A17" s="55">
        <v>13.0</v>
      </c>
      <c r="B17" s="36"/>
      <c r="C17" s="28"/>
      <c r="D17" s="28"/>
      <c r="E17" s="30"/>
      <c r="F17" s="30"/>
      <c r="G17" s="30"/>
      <c r="H17" s="30"/>
      <c r="I17" s="30"/>
      <c r="J17" s="30" t="str">
        <f t="shared" si="1"/>
        <v/>
      </c>
      <c r="K17" s="30"/>
      <c r="L17" s="30" t="str">
        <f t="shared" si="2"/>
        <v/>
      </c>
      <c r="M17" s="30" t="str">
        <f t="shared" si="3"/>
        <v/>
      </c>
      <c r="N17" s="25"/>
      <c r="O17" s="31">
        <f t="shared" si="4"/>
        <v>0</v>
      </c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 ht="12.75" customHeight="1">
      <c r="A18" s="55">
        <v>14.0</v>
      </c>
      <c r="B18" s="36"/>
      <c r="C18" s="28"/>
      <c r="D18" s="28"/>
      <c r="E18" s="30"/>
      <c r="F18" s="30"/>
      <c r="G18" s="30"/>
      <c r="H18" s="30"/>
      <c r="I18" s="30"/>
      <c r="J18" s="30" t="str">
        <f t="shared" si="1"/>
        <v/>
      </c>
      <c r="K18" s="30"/>
      <c r="L18" s="30" t="str">
        <f t="shared" si="2"/>
        <v/>
      </c>
      <c r="M18" s="30" t="str">
        <f t="shared" si="3"/>
        <v/>
      </c>
      <c r="N18" s="25"/>
      <c r="O18" s="31">
        <f t="shared" si="4"/>
        <v>0</v>
      </c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 ht="12.75" customHeight="1">
      <c r="A19" s="55">
        <v>15.0</v>
      </c>
      <c r="B19" s="36"/>
      <c r="C19" s="28"/>
      <c r="D19" s="28"/>
      <c r="E19" s="30"/>
      <c r="F19" s="30"/>
      <c r="G19" s="30"/>
      <c r="H19" s="30"/>
      <c r="I19" s="30"/>
      <c r="J19" s="30" t="str">
        <f t="shared" si="1"/>
        <v/>
      </c>
      <c r="K19" s="30"/>
      <c r="L19" s="30" t="str">
        <f t="shared" si="2"/>
        <v/>
      </c>
      <c r="M19" s="30" t="str">
        <f t="shared" si="3"/>
        <v/>
      </c>
      <c r="N19" s="25"/>
      <c r="O19" s="31">
        <f t="shared" si="4"/>
        <v>0</v>
      </c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 ht="12.75" customHeight="1">
      <c r="A20" s="55">
        <v>16.0</v>
      </c>
      <c r="B20" s="36"/>
      <c r="C20" s="28"/>
      <c r="D20" s="28"/>
      <c r="E20" s="30"/>
      <c r="F20" s="30"/>
      <c r="G20" s="30"/>
      <c r="H20" s="30"/>
      <c r="I20" s="30"/>
      <c r="J20" s="30" t="str">
        <f t="shared" si="1"/>
        <v/>
      </c>
      <c r="K20" s="30"/>
      <c r="L20" s="30" t="str">
        <f t="shared" si="2"/>
        <v/>
      </c>
      <c r="M20" s="30" t="str">
        <f t="shared" si="3"/>
        <v/>
      </c>
      <c r="N20" s="25"/>
      <c r="O20" s="31">
        <f t="shared" si="4"/>
        <v>0</v>
      </c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 ht="12.75" customHeight="1">
      <c r="A21" s="55">
        <v>17.0</v>
      </c>
      <c r="B21" s="36"/>
      <c r="C21" s="28"/>
      <c r="D21" s="28"/>
      <c r="E21" s="30"/>
      <c r="F21" s="30"/>
      <c r="G21" s="30"/>
      <c r="H21" s="30"/>
      <c r="I21" s="30"/>
      <c r="J21" s="30" t="str">
        <f t="shared" si="1"/>
        <v/>
      </c>
      <c r="K21" s="30"/>
      <c r="L21" s="30" t="str">
        <f t="shared" si="2"/>
        <v/>
      </c>
      <c r="M21" s="30" t="str">
        <f t="shared" si="3"/>
        <v/>
      </c>
      <c r="N21" s="25"/>
      <c r="O21" s="31">
        <f t="shared" si="4"/>
        <v>0</v>
      </c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 ht="12.75" customHeight="1">
      <c r="A22" s="55">
        <v>18.0</v>
      </c>
      <c r="B22" s="36"/>
      <c r="C22" s="33"/>
      <c r="D22" s="33"/>
      <c r="E22" s="35"/>
      <c r="F22" s="35"/>
      <c r="G22" s="35"/>
      <c r="H22" s="35"/>
      <c r="I22" s="35"/>
      <c r="J22" s="35" t="str">
        <f t="shared" si="1"/>
        <v/>
      </c>
      <c r="K22" s="35"/>
      <c r="L22" s="35" t="str">
        <f t="shared" si="2"/>
        <v/>
      </c>
      <c r="M22" s="35" t="str">
        <f t="shared" si="3"/>
        <v/>
      </c>
      <c r="N22" s="25"/>
      <c r="O22" s="31">
        <f t="shared" si="4"/>
        <v>0</v>
      </c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 ht="12.75" customHeight="1">
      <c r="A23" s="55">
        <v>19.0</v>
      </c>
      <c r="B23" s="36"/>
      <c r="C23" s="28"/>
      <c r="D23" s="28"/>
      <c r="E23" s="30"/>
      <c r="F23" s="30"/>
      <c r="G23" s="30"/>
      <c r="H23" s="30"/>
      <c r="I23" s="30"/>
      <c r="J23" s="30" t="str">
        <f t="shared" si="1"/>
        <v/>
      </c>
      <c r="K23" s="30"/>
      <c r="L23" s="30" t="str">
        <f t="shared" si="2"/>
        <v/>
      </c>
      <c r="M23" s="30" t="str">
        <f t="shared" si="3"/>
        <v/>
      </c>
      <c r="N23" s="25"/>
      <c r="O23" s="31">
        <f t="shared" si="4"/>
        <v>0</v>
      </c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 ht="12.75" customHeight="1">
      <c r="A24" s="55">
        <v>20.0</v>
      </c>
      <c r="B24" s="36"/>
      <c r="C24" s="28"/>
      <c r="D24" s="28"/>
      <c r="E24" s="30"/>
      <c r="F24" s="30"/>
      <c r="G24" s="30"/>
      <c r="H24" s="30"/>
      <c r="I24" s="30"/>
      <c r="J24" s="30" t="str">
        <f t="shared" si="1"/>
        <v/>
      </c>
      <c r="K24" s="30"/>
      <c r="L24" s="30" t="str">
        <f t="shared" si="2"/>
        <v/>
      </c>
      <c r="M24" s="30" t="str">
        <f t="shared" si="3"/>
        <v/>
      </c>
      <c r="N24" s="25"/>
      <c r="O24" s="31">
        <f t="shared" si="4"/>
        <v>0</v>
      </c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 ht="12.75" customHeight="1">
      <c r="A25" s="55">
        <v>21.0</v>
      </c>
      <c r="B25" s="36"/>
      <c r="C25" s="28"/>
      <c r="D25" s="28"/>
      <c r="E25" s="30"/>
      <c r="F25" s="30"/>
      <c r="G25" s="30"/>
      <c r="H25" s="30"/>
      <c r="I25" s="30"/>
      <c r="J25" s="30" t="str">
        <f t="shared" si="1"/>
        <v/>
      </c>
      <c r="K25" s="30"/>
      <c r="L25" s="30" t="str">
        <f t="shared" si="2"/>
        <v/>
      </c>
      <c r="M25" s="30" t="str">
        <f t="shared" si="3"/>
        <v/>
      </c>
      <c r="N25" s="25"/>
      <c r="O25" s="31">
        <f t="shared" si="4"/>
        <v>0</v>
      </c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 ht="12.75" customHeight="1">
      <c r="A26" s="55">
        <v>22.0</v>
      </c>
      <c r="B26" s="36"/>
      <c r="C26" s="28"/>
      <c r="D26" s="28"/>
      <c r="E26" s="30"/>
      <c r="F26" s="30"/>
      <c r="G26" s="30"/>
      <c r="H26" s="30"/>
      <c r="I26" s="30"/>
      <c r="J26" s="30" t="str">
        <f t="shared" si="1"/>
        <v/>
      </c>
      <c r="K26" s="30"/>
      <c r="L26" s="30" t="str">
        <f t="shared" si="2"/>
        <v/>
      </c>
      <c r="M26" s="30" t="str">
        <f t="shared" si="3"/>
        <v/>
      </c>
      <c r="N26" s="25"/>
      <c r="O26" s="31">
        <f t="shared" si="4"/>
        <v>0</v>
      </c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 ht="12.75" customHeight="1">
      <c r="A27" s="55">
        <v>23.0</v>
      </c>
      <c r="B27" s="36"/>
      <c r="C27" s="28"/>
      <c r="D27" s="28"/>
      <c r="E27" s="30"/>
      <c r="F27" s="30"/>
      <c r="G27" s="30"/>
      <c r="H27" s="30"/>
      <c r="I27" s="30"/>
      <c r="J27" s="30" t="str">
        <f t="shared" si="1"/>
        <v/>
      </c>
      <c r="K27" s="30"/>
      <c r="L27" s="30" t="str">
        <f t="shared" si="2"/>
        <v/>
      </c>
      <c r="M27" s="30" t="str">
        <f t="shared" si="3"/>
        <v/>
      </c>
      <c r="N27" s="25"/>
      <c r="O27" s="31">
        <f t="shared" si="4"/>
        <v>0</v>
      </c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 ht="12.75" customHeight="1">
      <c r="A28" s="55">
        <v>24.0</v>
      </c>
      <c r="B28" s="36"/>
      <c r="C28" s="28"/>
      <c r="D28" s="28"/>
      <c r="E28" s="30"/>
      <c r="F28" s="30"/>
      <c r="G28" s="30"/>
      <c r="H28" s="30"/>
      <c r="I28" s="30"/>
      <c r="J28" s="30">
        <v>54.39</v>
      </c>
      <c r="K28" s="30"/>
      <c r="L28" s="30" t="str">
        <f t="shared" si="2"/>
        <v/>
      </c>
      <c r="M28" s="30" t="str">
        <f t="shared" si="3"/>
        <v/>
      </c>
      <c r="N28" s="25"/>
      <c r="O28" s="31">
        <f t="shared" si="4"/>
        <v>0</v>
      </c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ht="12.75" customHeight="1">
      <c r="A29" s="55">
        <v>25.0</v>
      </c>
      <c r="B29" s="36"/>
      <c r="C29" s="28"/>
      <c r="D29" s="28"/>
      <c r="E29" s="30"/>
      <c r="F29" s="30"/>
      <c r="G29" s="30"/>
      <c r="H29" s="30"/>
      <c r="I29" s="30"/>
      <c r="J29" s="30" t="str">
        <f t="shared" ref="J29:J44" si="5">IF(MIN(E29:I29)&gt;0,MIN(E29:I29),IF(COUNTBLANK(E29:I29)=5,"","DNF"))</f>
        <v/>
      </c>
      <c r="K29" s="30"/>
      <c r="L29" s="30" t="str">
        <f t="shared" si="2"/>
        <v/>
      </c>
      <c r="M29" s="30" t="str">
        <f>IF(COUNTBLANK(E29:I29)&gt;0,"",IF(COUNTIF(E29:I29,"DNF")+COUNTIF(E29:I29,"DNS")&gt;1,"DNF",IF(COUNTIF(E29:I29,"DNF")+COUNTIF(E29:I29,"DNS")&gt;0,(SUM(E29:I29)-J29)/3,(SUM(E29:I29)-J29-L29)/3)))</f>
        <v/>
      </c>
      <c r="N29" s="25"/>
      <c r="O29" s="31">
        <f t="shared" si="4"/>
        <v>0</v>
      </c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 ht="12.75" customHeight="1">
      <c r="A30" s="55">
        <v>26.0</v>
      </c>
      <c r="B30" s="36"/>
      <c r="C30" s="28"/>
      <c r="D30" s="28"/>
      <c r="E30" s="30"/>
      <c r="F30" s="30"/>
      <c r="G30" s="30"/>
      <c r="H30" s="30"/>
      <c r="I30" s="30"/>
      <c r="J30" s="30" t="str">
        <f t="shared" si="5"/>
        <v/>
      </c>
      <c r="K30" s="30"/>
      <c r="L30" s="30" t="str">
        <f t="shared" si="2"/>
        <v/>
      </c>
      <c r="M30" s="30" t="str">
        <f t="shared" ref="M30:M42" si="6">IF(COUNTBLANK(E30:I30)&gt;0,"",IF(COUNTIF(E30:I30,"DNF")+COUNTIF(E30:I30,"DNS")&gt;1,"DNF",ROUND(IF(COUNTIF(E30:I30,"DNF")+COUNTIF(E30:I30,"DNS")&gt;0,(SUM(E30:I30)-J30)/3,(SUM(E30:I30)-J30-L30)/3),2)))</f>
        <v/>
      </c>
      <c r="N30" s="25"/>
      <c r="O30" s="31">
        <f t="shared" si="4"/>
        <v>0</v>
      </c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 ht="12.75" customHeight="1">
      <c r="A31" s="55">
        <v>27.0</v>
      </c>
      <c r="B31" s="36"/>
      <c r="C31" s="28"/>
      <c r="D31" s="28"/>
      <c r="E31" s="30"/>
      <c r="F31" s="30"/>
      <c r="G31" s="30"/>
      <c r="H31" s="30"/>
      <c r="I31" s="30"/>
      <c r="J31" s="30" t="str">
        <f t="shared" si="5"/>
        <v/>
      </c>
      <c r="K31" s="30"/>
      <c r="L31" s="30" t="str">
        <f t="shared" si="2"/>
        <v/>
      </c>
      <c r="M31" s="30" t="str">
        <f t="shared" si="6"/>
        <v/>
      </c>
      <c r="N31" s="25"/>
      <c r="O31" s="31">
        <f t="shared" si="4"/>
        <v>0</v>
      </c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 ht="12.75" customHeight="1">
      <c r="A32" s="55">
        <v>28.0</v>
      </c>
      <c r="B32" s="36"/>
      <c r="C32" s="28"/>
      <c r="D32" s="28"/>
      <c r="E32" s="30"/>
      <c r="F32" s="30"/>
      <c r="G32" s="30"/>
      <c r="H32" s="30"/>
      <c r="I32" s="30"/>
      <c r="J32" s="30" t="str">
        <f t="shared" si="5"/>
        <v/>
      </c>
      <c r="K32" s="30"/>
      <c r="L32" s="30" t="str">
        <f t="shared" si="2"/>
        <v/>
      </c>
      <c r="M32" s="30" t="str">
        <f t="shared" si="6"/>
        <v/>
      </c>
      <c r="N32" s="25"/>
      <c r="O32" s="31">
        <f t="shared" si="4"/>
        <v>0</v>
      </c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 ht="12.75" customHeight="1">
      <c r="A33" s="55">
        <v>29.0</v>
      </c>
      <c r="B33" s="36"/>
      <c r="C33" s="28"/>
      <c r="D33" s="28"/>
      <c r="E33" s="30"/>
      <c r="F33" s="30"/>
      <c r="G33" s="30"/>
      <c r="H33" s="30"/>
      <c r="I33" s="30"/>
      <c r="J33" s="30" t="str">
        <f t="shared" si="5"/>
        <v/>
      </c>
      <c r="K33" s="30"/>
      <c r="L33" s="30" t="str">
        <f t="shared" si="2"/>
        <v/>
      </c>
      <c r="M33" s="30" t="str">
        <f t="shared" si="6"/>
        <v/>
      </c>
      <c r="N33" s="25"/>
      <c r="O33" s="31">
        <f t="shared" si="4"/>
        <v>0</v>
      </c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ht="12.75" customHeight="1">
      <c r="A34" s="55">
        <v>30.0</v>
      </c>
      <c r="B34" s="36"/>
      <c r="C34" s="28"/>
      <c r="D34" s="28"/>
      <c r="E34" s="30"/>
      <c r="F34" s="30"/>
      <c r="G34" s="30"/>
      <c r="H34" s="30"/>
      <c r="I34" s="30"/>
      <c r="J34" s="30" t="str">
        <f t="shared" si="5"/>
        <v/>
      </c>
      <c r="K34" s="30"/>
      <c r="L34" s="30" t="str">
        <f t="shared" si="2"/>
        <v/>
      </c>
      <c r="M34" s="30" t="str">
        <f t="shared" si="6"/>
        <v/>
      </c>
      <c r="N34" s="25"/>
      <c r="O34" s="31">
        <f t="shared" si="4"/>
        <v>0</v>
      </c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 ht="12.75" customHeight="1">
      <c r="A35" s="55">
        <v>31.0</v>
      </c>
      <c r="B35" s="36"/>
      <c r="C35" s="28"/>
      <c r="D35" s="28"/>
      <c r="E35" s="30"/>
      <c r="F35" s="30"/>
      <c r="G35" s="30"/>
      <c r="H35" s="30"/>
      <c r="I35" s="30"/>
      <c r="J35" s="30" t="str">
        <f t="shared" si="5"/>
        <v/>
      </c>
      <c r="K35" s="30"/>
      <c r="L35" s="30" t="str">
        <f t="shared" si="2"/>
        <v/>
      </c>
      <c r="M35" s="30" t="str">
        <f t="shared" si="6"/>
        <v/>
      </c>
      <c r="N35" s="25"/>
      <c r="O35" s="31">
        <f t="shared" si="4"/>
        <v>0</v>
      </c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 ht="12.75" customHeight="1">
      <c r="A36" s="55">
        <v>32.0</v>
      </c>
      <c r="B36" s="36"/>
      <c r="C36" s="28"/>
      <c r="D36" s="28"/>
      <c r="E36" s="30"/>
      <c r="F36" s="30"/>
      <c r="G36" s="30"/>
      <c r="H36" s="30"/>
      <c r="I36" s="30"/>
      <c r="J36" s="30" t="str">
        <f t="shared" si="5"/>
        <v/>
      </c>
      <c r="K36" s="30"/>
      <c r="L36" s="30" t="str">
        <f t="shared" si="2"/>
        <v/>
      </c>
      <c r="M36" s="30" t="str">
        <f t="shared" si="6"/>
        <v/>
      </c>
      <c r="N36" s="25"/>
      <c r="O36" s="31">
        <f t="shared" si="4"/>
        <v>0</v>
      </c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 ht="12.75" customHeight="1">
      <c r="A37" s="55">
        <v>33.0</v>
      </c>
      <c r="B37" s="36"/>
      <c r="C37" s="28"/>
      <c r="D37" s="28"/>
      <c r="E37" s="30"/>
      <c r="F37" s="30"/>
      <c r="G37" s="30"/>
      <c r="H37" s="30"/>
      <c r="I37" s="30"/>
      <c r="J37" s="30" t="str">
        <f t="shared" si="5"/>
        <v/>
      </c>
      <c r="K37" s="30"/>
      <c r="L37" s="30" t="str">
        <f t="shared" si="2"/>
        <v/>
      </c>
      <c r="M37" s="30" t="str">
        <f t="shared" si="6"/>
        <v/>
      </c>
      <c r="N37" s="25"/>
      <c r="O37" s="31">
        <f t="shared" si="4"/>
        <v>0</v>
      </c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ht="12.75" customHeight="1">
      <c r="A38" s="55">
        <v>34.0</v>
      </c>
      <c r="B38" s="36"/>
      <c r="C38" s="28"/>
      <c r="D38" s="28"/>
      <c r="E38" s="30"/>
      <c r="F38" s="30"/>
      <c r="G38" s="30"/>
      <c r="H38" s="30"/>
      <c r="I38" s="30"/>
      <c r="J38" s="30" t="str">
        <f t="shared" si="5"/>
        <v/>
      </c>
      <c r="K38" s="30"/>
      <c r="L38" s="30" t="str">
        <f t="shared" si="2"/>
        <v/>
      </c>
      <c r="M38" s="30" t="str">
        <f t="shared" si="6"/>
        <v/>
      </c>
      <c r="N38" s="25"/>
      <c r="O38" s="31">
        <f t="shared" si="4"/>
        <v>0</v>
      </c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 ht="12.75" customHeight="1">
      <c r="A39" s="55">
        <v>35.0</v>
      </c>
      <c r="B39" s="36"/>
      <c r="C39" s="28"/>
      <c r="D39" s="28"/>
      <c r="E39" s="30"/>
      <c r="F39" s="30"/>
      <c r="G39" s="30"/>
      <c r="H39" s="30"/>
      <c r="I39" s="30"/>
      <c r="J39" s="30" t="str">
        <f t="shared" si="5"/>
        <v/>
      </c>
      <c r="K39" s="30"/>
      <c r="L39" s="30" t="str">
        <f t="shared" si="2"/>
        <v/>
      </c>
      <c r="M39" s="30" t="str">
        <f t="shared" si="6"/>
        <v/>
      </c>
      <c r="N39" s="25"/>
      <c r="O39" s="31">
        <f t="shared" si="4"/>
        <v>0</v>
      </c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 ht="12.75" customHeight="1">
      <c r="A40" s="55">
        <v>36.0</v>
      </c>
      <c r="B40" s="36"/>
      <c r="C40" s="28"/>
      <c r="D40" s="28"/>
      <c r="E40" s="30"/>
      <c r="F40" s="30"/>
      <c r="G40" s="30"/>
      <c r="H40" s="30"/>
      <c r="I40" s="30"/>
      <c r="J40" s="30" t="str">
        <f t="shared" si="5"/>
        <v/>
      </c>
      <c r="K40" s="30"/>
      <c r="L40" s="30" t="str">
        <f t="shared" si="2"/>
        <v/>
      </c>
      <c r="M40" s="30" t="str">
        <f t="shared" si="6"/>
        <v/>
      </c>
      <c r="N40" s="25"/>
      <c r="O40" s="31">
        <f t="shared" si="4"/>
        <v>0</v>
      </c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 ht="12.75" customHeight="1">
      <c r="A41" s="55">
        <v>37.0</v>
      </c>
      <c r="B41" s="36"/>
      <c r="C41" s="28"/>
      <c r="D41" s="28"/>
      <c r="E41" s="30"/>
      <c r="F41" s="30"/>
      <c r="G41" s="30"/>
      <c r="H41" s="30"/>
      <c r="I41" s="30"/>
      <c r="J41" s="30" t="str">
        <f t="shared" si="5"/>
        <v/>
      </c>
      <c r="K41" s="30"/>
      <c r="L41" s="30" t="str">
        <f t="shared" si="2"/>
        <v/>
      </c>
      <c r="M41" s="30" t="str">
        <f t="shared" si="6"/>
        <v/>
      </c>
      <c r="N41" s="25"/>
      <c r="O41" s="31">
        <f t="shared" si="4"/>
        <v>0</v>
      </c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 ht="12.75" customHeight="1">
      <c r="A42" s="55">
        <f>IF(AND(M41=M42,J41=J42),A41,ROW()-4)</f>
        <v>37</v>
      </c>
      <c r="B42" s="36"/>
      <c r="C42" s="28"/>
      <c r="D42" s="28"/>
      <c r="E42" s="30"/>
      <c r="F42" s="30"/>
      <c r="G42" s="30"/>
      <c r="H42" s="30"/>
      <c r="I42" s="30"/>
      <c r="J42" s="30" t="str">
        <f t="shared" si="5"/>
        <v/>
      </c>
      <c r="K42" s="30"/>
      <c r="L42" s="30" t="str">
        <f t="shared" si="2"/>
        <v/>
      </c>
      <c r="M42" s="30" t="str">
        <f t="shared" si="6"/>
        <v/>
      </c>
      <c r="N42" s="25"/>
      <c r="O42" s="31">
        <f t="shared" si="4"/>
        <v>0</v>
      </c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</row>
    <row r="43" ht="12.75" customHeight="1">
      <c r="A43" s="55">
        <v>15.0</v>
      </c>
      <c r="B43" s="36"/>
      <c r="E43" s="44"/>
      <c r="F43" s="44"/>
      <c r="G43" s="44"/>
      <c r="H43" s="44"/>
      <c r="I43" s="44"/>
      <c r="J43" s="44" t="str">
        <f t="shared" si="5"/>
        <v/>
      </c>
      <c r="K43" s="45"/>
      <c r="L43" s="44" t="str">
        <f t="shared" si="2"/>
        <v/>
      </c>
      <c r="M43" s="44" t="str">
        <f>IF(COUNTBLANK(E43:I43)&gt;0,"",IF(COUNTIF(E43:I43,"DNF")+COUNTIF(E43:I43,"DNS")&gt;1,"DNF",IF(COUNTIF(E43:I43,"DNF")+COUNTIF(E43:I43,"DNS")&gt;0,(SUM(E43:I43)-J43)/3,(SUM(E43:I43)-J43-L43)/3)))</f>
        <v/>
      </c>
      <c r="N43" s="25"/>
      <c r="O43" s="31">
        <f t="shared" si="4"/>
        <v>0</v>
      </c>
    </row>
    <row r="44" ht="12.75" customHeight="1">
      <c r="E44" s="35"/>
      <c r="F44" s="35"/>
      <c r="G44" s="35"/>
      <c r="H44" s="35"/>
      <c r="I44" s="35"/>
      <c r="J44" s="35" t="str">
        <f t="shared" si="5"/>
        <v/>
      </c>
      <c r="K44" s="35"/>
      <c r="L44" s="35" t="str">
        <f t="shared" si="2"/>
        <v/>
      </c>
      <c r="M44" s="35" t="str">
        <f>IF(COUNTBLANK(E44:I44)&gt;0,"",IF(COUNTIF(E44:I44,"DNF")+COUNTIF(E44:I44,"DNS")&gt;1,"DNF",ROUND(IF(COUNTIF(E44:I44,"DNF")+COUNTIF(E44:I44,"DNS")&gt;0,(SUM(E44:I44)-J44)/3,(SUM(E44:I44)-J44-L44)/3),2)))</f>
        <v/>
      </c>
      <c r="N44" s="25"/>
      <c r="O44" s="31">
        <f t="shared" si="4"/>
        <v>0</v>
      </c>
    </row>
    <row r="45" ht="12.75" customHeight="1">
      <c r="E45" s="40"/>
      <c r="F45" s="40"/>
      <c r="G45" s="40"/>
      <c r="H45" s="40"/>
      <c r="I45" s="40"/>
      <c r="J45" s="40"/>
      <c r="K45" s="40"/>
      <c r="L45" s="40"/>
      <c r="M45" s="40"/>
    </row>
    <row r="46" ht="12.75" customHeight="1">
      <c r="E46" s="40"/>
      <c r="F46" s="40"/>
      <c r="G46" s="40"/>
      <c r="H46" s="40"/>
      <c r="I46" s="40"/>
      <c r="J46" s="40"/>
      <c r="K46" s="40"/>
      <c r="L46" s="40"/>
      <c r="M46" s="40"/>
    </row>
    <row r="47" ht="12.75" customHeight="1">
      <c r="E47" s="40"/>
      <c r="F47" s="40"/>
      <c r="G47" s="40"/>
      <c r="H47" s="40"/>
      <c r="I47" s="40"/>
      <c r="J47" s="40"/>
      <c r="K47" s="40"/>
      <c r="L47" s="40"/>
      <c r="M47" s="40"/>
    </row>
    <row r="48" ht="12.75" customHeight="1">
      <c r="E48" s="40"/>
      <c r="F48" s="40"/>
      <c r="G48" s="40"/>
      <c r="H48" s="40"/>
      <c r="I48" s="40"/>
      <c r="J48" s="40"/>
      <c r="K48" s="40"/>
      <c r="L48" s="40"/>
      <c r="M48" s="40"/>
    </row>
    <row r="49" ht="12.75" customHeight="1">
      <c r="E49" s="40"/>
      <c r="F49" s="40"/>
      <c r="G49" s="40"/>
      <c r="H49" s="40"/>
      <c r="I49" s="40"/>
      <c r="J49" s="40"/>
      <c r="K49" s="40"/>
      <c r="L49" s="40"/>
      <c r="M49" s="40"/>
    </row>
    <row r="50" ht="12.75" customHeight="1">
      <c r="E50" s="40"/>
      <c r="F50" s="40"/>
      <c r="G50" s="40"/>
      <c r="H50" s="40"/>
      <c r="I50" s="40"/>
      <c r="J50" s="40"/>
      <c r="K50" s="40"/>
      <c r="L50" s="40"/>
      <c r="M50" s="40"/>
    </row>
    <row r="51" ht="12.75" customHeight="1">
      <c r="E51" s="40"/>
      <c r="F51" s="40"/>
      <c r="G51" s="40"/>
      <c r="H51" s="40"/>
      <c r="I51" s="40"/>
      <c r="J51" s="40"/>
      <c r="K51" s="40"/>
      <c r="L51" s="40"/>
      <c r="M51" s="40"/>
    </row>
    <row r="52" ht="12.75" customHeight="1">
      <c r="E52" s="40"/>
      <c r="F52" s="40"/>
      <c r="G52" s="40"/>
      <c r="H52" s="40"/>
      <c r="I52" s="40"/>
      <c r="J52" s="40"/>
      <c r="K52" s="40"/>
      <c r="L52" s="40"/>
      <c r="M52" s="40"/>
    </row>
    <row r="53" ht="12.75" customHeight="1">
      <c r="E53" s="40"/>
      <c r="F53" s="40"/>
      <c r="G53" s="40"/>
      <c r="H53" s="40"/>
      <c r="I53" s="40"/>
      <c r="J53" s="40"/>
      <c r="K53" s="40"/>
      <c r="L53" s="40"/>
      <c r="M53" s="40"/>
    </row>
    <row r="54" ht="12.75" customHeight="1">
      <c r="E54" s="40"/>
      <c r="F54" s="40"/>
      <c r="G54" s="40"/>
      <c r="H54" s="40"/>
      <c r="I54" s="40"/>
      <c r="J54" s="40"/>
      <c r="K54" s="40"/>
      <c r="L54" s="40"/>
      <c r="M54" s="40"/>
    </row>
    <row r="55" ht="12.75" customHeight="1">
      <c r="E55" s="40"/>
      <c r="F55" s="40"/>
      <c r="G55" s="40"/>
      <c r="H55" s="40"/>
      <c r="I55" s="40"/>
      <c r="J55" s="40"/>
      <c r="K55" s="40"/>
      <c r="L55" s="40"/>
      <c r="M55" s="40"/>
    </row>
    <row r="56" ht="12.75" customHeight="1">
      <c r="E56" s="40"/>
      <c r="F56" s="40"/>
      <c r="G56" s="40"/>
      <c r="H56" s="40"/>
      <c r="I56" s="40"/>
      <c r="J56" s="40"/>
      <c r="K56" s="40"/>
      <c r="L56" s="40"/>
      <c r="M56" s="40"/>
    </row>
    <row r="57" ht="12.75" customHeight="1">
      <c r="E57" s="40"/>
      <c r="F57" s="40"/>
      <c r="G57" s="40"/>
      <c r="H57" s="40"/>
      <c r="I57" s="40"/>
      <c r="J57" s="40"/>
      <c r="K57" s="40"/>
      <c r="L57" s="40"/>
      <c r="M57" s="40"/>
    </row>
    <row r="58" ht="12.75" customHeight="1">
      <c r="E58" s="40"/>
      <c r="F58" s="40"/>
      <c r="G58" s="40"/>
      <c r="H58" s="40"/>
      <c r="I58" s="40"/>
      <c r="J58" s="40"/>
      <c r="K58" s="40"/>
      <c r="L58" s="40"/>
      <c r="M58" s="40"/>
    </row>
    <row r="59" ht="12.75" customHeight="1">
      <c r="E59" s="40"/>
      <c r="F59" s="40"/>
      <c r="G59" s="40"/>
      <c r="H59" s="40"/>
      <c r="I59" s="40"/>
      <c r="J59" s="40"/>
      <c r="K59" s="40"/>
      <c r="L59" s="40"/>
      <c r="M59" s="40"/>
    </row>
    <row r="60" ht="12.75" customHeight="1">
      <c r="E60" s="40"/>
      <c r="F60" s="40"/>
      <c r="G60" s="40"/>
      <c r="H60" s="40"/>
      <c r="I60" s="40"/>
      <c r="J60" s="40"/>
      <c r="K60" s="40"/>
      <c r="L60" s="40"/>
      <c r="M60" s="40"/>
    </row>
    <row r="61" ht="12.75" customHeight="1">
      <c r="E61" s="40"/>
      <c r="F61" s="40"/>
      <c r="G61" s="40"/>
      <c r="H61" s="40"/>
      <c r="I61" s="40"/>
      <c r="J61" s="40"/>
      <c r="K61" s="40"/>
      <c r="L61" s="40"/>
      <c r="M61" s="40"/>
    </row>
    <row r="62" ht="12.75" customHeight="1">
      <c r="E62" s="40"/>
      <c r="F62" s="40"/>
      <c r="G62" s="40"/>
      <c r="H62" s="40"/>
      <c r="I62" s="40"/>
      <c r="J62" s="40"/>
      <c r="K62" s="40"/>
      <c r="L62" s="40"/>
      <c r="M62" s="40"/>
    </row>
    <row r="63" ht="12.75" customHeight="1">
      <c r="E63" s="40"/>
      <c r="F63" s="40"/>
      <c r="G63" s="40"/>
      <c r="H63" s="40"/>
      <c r="I63" s="40"/>
      <c r="J63" s="40"/>
      <c r="K63" s="40"/>
      <c r="L63" s="40"/>
      <c r="M63" s="40"/>
    </row>
    <row r="64" ht="12.75" customHeight="1">
      <c r="E64" s="40"/>
      <c r="F64" s="40"/>
      <c r="G64" s="40"/>
      <c r="H64" s="40"/>
      <c r="I64" s="40"/>
      <c r="J64" s="40"/>
      <c r="K64" s="40"/>
      <c r="L64" s="40"/>
      <c r="M64" s="40"/>
    </row>
    <row r="65" ht="12.75" customHeight="1">
      <c r="E65" s="40"/>
      <c r="F65" s="40"/>
      <c r="G65" s="40"/>
      <c r="H65" s="40"/>
      <c r="I65" s="40"/>
      <c r="J65" s="40"/>
      <c r="K65" s="40"/>
      <c r="L65" s="40"/>
      <c r="M65" s="40"/>
    </row>
    <row r="66" ht="12.75" customHeight="1">
      <c r="E66" s="40"/>
      <c r="F66" s="40"/>
      <c r="G66" s="40"/>
      <c r="H66" s="40"/>
      <c r="I66" s="40"/>
      <c r="J66" s="40"/>
      <c r="K66" s="40"/>
      <c r="L66" s="40"/>
      <c r="M66" s="40"/>
    </row>
    <row r="67" ht="12.75" customHeight="1">
      <c r="E67" s="40"/>
      <c r="F67" s="40"/>
      <c r="G67" s="40"/>
      <c r="H67" s="40"/>
      <c r="I67" s="40"/>
      <c r="J67" s="40"/>
      <c r="K67" s="40"/>
      <c r="L67" s="40"/>
      <c r="M67" s="40"/>
    </row>
    <row r="68" ht="12.75" customHeight="1">
      <c r="E68" s="40"/>
      <c r="F68" s="40"/>
      <c r="G68" s="40"/>
      <c r="H68" s="40"/>
      <c r="I68" s="40"/>
      <c r="J68" s="40"/>
      <c r="K68" s="40"/>
      <c r="L68" s="40"/>
      <c r="M68" s="40"/>
    </row>
    <row r="69" ht="12.75" customHeight="1">
      <c r="E69" s="40"/>
      <c r="F69" s="40"/>
      <c r="G69" s="40"/>
      <c r="H69" s="40"/>
      <c r="I69" s="40"/>
      <c r="J69" s="40"/>
      <c r="K69" s="40"/>
      <c r="L69" s="40"/>
      <c r="M69" s="40"/>
    </row>
    <row r="70" ht="12.75" customHeight="1">
      <c r="E70" s="40"/>
      <c r="F70" s="40"/>
      <c r="G70" s="40"/>
      <c r="H70" s="40"/>
      <c r="I70" s="40"/>
      <c r="J70" s="40"/>
      <c r="K70" s="40"/>
      <c r="L70" s="40"/>
      <c r="M70" s="40"/>
    </row>
    <row r="71" ht="12.75" customHeight="1">
      <c r="E71" s="40"/>
      <c r="F71" s="40"/>
      <c r="G71" s="40"/>
      <c r="H71" s="40"/>
      <c r="I71" s="40"/>
      <c r="J71" s="40"/>
      <c r="K71" s="40"/>
      <c r="L71" s="40"/>
      <c r="M71" s="40"/>
    </row>
    <row r="72" ht="12.75" customHeight="1">
      <c r="E72" s="40"/>
      <c r="F72" s="40"/>
      <c r="G72" s="40"/>
      <c r="H72" s="40"/>
      <c r="I72" s="40"/>
      <c r="J72" s="40"/>
      <c r="K72" s="40"/>
      <c r="L72" s="40"/>
      <c r="M72" s="40"/>
    </row>
    <row r="73" ht="12.75" customHeight="1">
      <c r="E73" s="40"/>
      <c r="F73" s="40"/>
      <c r="G73" s="40"/>
      <c r="H73" s="40"/>
      <c r="I73" s="40"/>
      <c r="J73" s="40"/>
      <c r="K73" s="40"/>
      <c r="L73" s="40"/>
      <c r="M73" s="40"/>
    </row>
    <row r="74" ht="12.75" customHeight="1">
      <c r="E74" s="40"/>
      <c r="F74" s="40"/>
      <c r="G74" s="40"/>
      <c r="H74" s="40"/>
      <c r="I74" s="40"/>
      <c r="J74" s="40"/>
      <c r="K74" s="40"/>
      <c r="L74" s="40"/>
      <c r="M74" s="40"/>
    </row>
    <row r="75" ht="12.75" customHeight="1">
      <c r="E75" s="40"/>
      <c r="F75" s="40"/>
      <c r="G75" s="40"/>
      <c r="H75" s="40"/>
      <c r="I75" s="40"/>
      <c r="J75" s="40"/>
      <c r="K75" s="40"/>
      <c r="L75" s="40"/>
      <c r="M75" s="40"/>
    </row>
    <row r="76" ht="12.75" customHeight="1">
      <c r="E76" s="40"/>
      <c r="F76" s="40"/>
      <c r="G76" s="40"/>
      <c r="H76" s="40"/>
      <c r="I76" s="40"/>
      <c r="J76" s="40"/>
      <c r="K76" s="40"/>
      <c r="L76" s="40"/>
      <c r="M76" s="40"/>
    </row>
    <row r="77" ht="12.75" customHeight="1">
      <c r="E77" s="40"/>
      <c r="F77" s="40"/>
      <c r="G77" s="40"/>
      <c r="H77" s="40"/>
      <c r="I77" s="40"/>
      <c r="J77" s="40"/>
      <c r="K77" s="40"/>
      <c r="L77" s="40"/>
      <c r="M77" s="40"/>
    </row>
    <row r="78" ht="12.75" customHeight="1">
      <c r="E78" s="40"/>
      <c r="F78" s="40"/>
      <c r="G78" s="40"/>
      <c r="H78" s="40"/>
      <c r="I78" s="40"/>
      <c r="J78" s="40"/>
      <c r="K78" s="40"/>
      <c r="L78" s="40"/>
      <c r="M78" s="40"/>
    </row>
    <row r="79" ht="12.75" customHeight="1">
      <c r="E79" s="40"/>
      <c r="F79" s="40"/>
      <c r="G79" s="40"/>
      <c r="H79" s="40"/>
      <c r="I79" s="40"/>
      <c r="J79" s="40"/>
      <c r="K79" s="40"/>
      <c r="L79" s="40"/>
      <c r="M79" s="40"/>
    </row>
    <row r="80" ht="12.75" customHeight="1">
      <c r="E80" s="40"/>
      <c r="F80" s="40"/>
      <c r="G80" s="40"/>
      <c r="H80" s="40"/>
      <c r="I80" s="40"/>
      <c r="J80" s="40"/>
      <c r="K80" s="40"/>
      <c r="L80" s="40"/>
      <c r="M80" s="40"/>
    </row>
    <row r="81" ht="12.75" customHeight="1">
      <c r="E81" s="40"/>
      <c r="F81" s="40"/>
      <c r="G81" s="40"/>
      <c r="H81" s="40"/>
      <c r="I81" s="40"/>
      <c r="J81" s="40"/>
      <c r="K81" s="40"/>
      <c r="L81" s="40"/>
      <c r="M81" s="40"/>
    </row>
    <row r="82" ht="12.75" customHeight="1">
      <c r="E82" s="40"/>
      <c r="F82" s="40"/>
      <c r="G82" s="40"/>
      <c r="H82" s="40"/>
      <c r="I82" s="40"/>
      <c r="J82" s="40"/>
      <c r="K82" s="40"/>
      <c r="L82" s="40"/>
      <c r="M82" s="40"/>
    </row>
    <row r="83" ht="12.75" customHeight="1">
      <c r="E83" s="40"/>
      <c r="F83" s="40"/>
      <c r="G83" s="40"/>
      <c r="H83" s="40"/>
      <c r="I83" s="40"/>
      <c r="J83" s="40"/>
      <c r="K83" s="40"/>
      <c r="L83" s="40"/>
      <c r="M83" s="40"/>
    </row>
    <row r="84" ht="12.75" customHeight="1">
      <c r="E84" s="40"/>
      <c r="F84" s="40"/>
      <c r="G84" s="40"/>
      <c r="H84" s="40"/>
      <c r="I84" s="40"/>
      <c r="J84" s="40"/>
      <c r="K84" s="40"/>
      <c r="L84" s="40"/>
      <c r="M84" s="40"/>
    </row>
    <row r="85" ht="12.75" customHeight="1">
      <c r="E85" s="40"/>
      <c r="F85" s="40"/>
      <c r="G85" s="40"/>
      <c r="H85" s="40"/>
      <c r="I85" s="40"/>
      <c r="J85" s="40"/>
      <c r="K85" s="40"/>
      <c r="L85" s="40"/>
      <c r="M85" s="40"/>
    </row>
    <row r="86" ht="12.75" customHeight="1">
      <c r="E86" s="40"/>
      <c r="F86" s="40"/>
      <c r="G86" s="40"/>
      <c r="H86" s="40"/>
      <c r="I86" s="40"/>
      <c r="J86" s="40"/>
      <c r="K86" s="40"/>
      <c r="L86" s="40"/>
      <c r="M86" s="40"/>
    </row>
    <row r="87" ht="12.75" customHeight="1">
      <c r="E87" s="40"/>
      <c r="F87" s="40"/>
      <c r="G87" s="40"/>
      <c r="H87" s="40"/>
      <c r="I87" s="40"/>
      <c r="J87" s="40"/>
      <c r="K87" s="40"/>
      <c r="L87" s="40"/>
      <c r="M87" s="40"/>
    </row>
    <row r="88" ht="12.75" customHeight="1">
      <c r="E88" s="40"/>
      <c r="F88" s="40"/>
      <c r="G88" s="40"/>
      <c r="H88" s="40"/>
      <c r="I88" s="40"/>
      <c r="J88" s="40"/>
      <c r="K88" s="40"/>
      <c r="L88" s="40"/>
      <c r="M88" s="40"/>
    </row>
    <row r="89" ht="12.75" customHeight="1">
      <c r="E89" s="40"/>
      <c r="F89" s="40"/>
      <c r="G89" s="40"/>
      <c r="H89" s="40"/>
      <c r="I89" s="40"/>
      <c r="J89" s="40"/>
      <c r="K89" s="40"/>
      <c r="L89" s="40"/>
      <c r="M89" s="40"/>
    </row>
    <row r="90" ht="12.75" customHeight="1">
      <c r="E90" s="40"/>
      <c r="F90" s="40"/>
      <c r="G90" s="40"/>
      <c r="H90" s="40"/>
      <c r="I90" s="40"/>
      <c r="J90" s="40"/>
      <c r="K90" s="40"/>
      <c r="L90" s="40"/>
      <c r="M90" s="40"/>
    </row>
    <row r="91" ht="12.75" customHeight="1">
      <c r="E91" s="40"/>
      <c r="F91" s="40"/>
      <c r="G91" s="40"/>
      <c r="H91" s="40"/>
      <c r="I91" s="40"/>
      <c r="J91" s="40"/>
      <c r="K91" s="40"/>
      <c r="L91" s="40"/>
      <c r="M91" s="40"/>
    </row>
    <row r="92" ht="12.75" customHeight="1">
      <c r="E92" s="40"/>
      <c r="F92" s="40"/>
      <c r="G92" s="40"/>
      <c r="H92" s="40"/>
      <c r="I92" s="40"/>
      <c r="J92" s="40"/>
      <c r="K92" s="40"/>
      <c r="L92" s="40"/>
      <c r="M92" s="40"/>
    </row>
    <row r="93" ht="12.75" customHeight="1">
      <c r="E93" s="40"/>
      <c r="F93" s="40"/>
      <c r="G93" s="40"/>
      <c r="H93" s="40"/>
      <c r="I93" s="40"/>
      <c r="J93" s="40"/>
      <c r="K93" s="40"/>
      <c r="L93" s="40"/>
      <c r="M93" s="40"/>
    </row>
    <row r="94" ht="12.75" customHeight="1">
      <c r="E94" s="40"/>
      <c r="F94" s="40"/>
      <c r="G94" s="40"/>
      <c r="H94" s="40"/>
      <c r="I94" s="40"/>
      <c r="J94" s="40"/>
      <c r="K94" s="40"/>
      <c r="L94" s="40"/>
      <c r="M94" s="40"/>
    </row>
    <row r="95" ht="12.75" customHeight="1">
      <c r="E95" s="40"/>
      <c r="F95" s="40"/>
      <c r="G95" s="40"/>
      <c r="H95" s="40"/>
      <c r="I95" s="40"/>
      <c r="J95" s="40"/>
      <c r="K95" s="40"/>
      <c r="L95" s="40"/>
      <c r="M95" s="40"/>
    </row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" footer="0.0" header="0.0" left="0.75" right="0.75" top="1.0"/>
  <pageSetup paperSize="9"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5.38"/>
    <col customWidth="1" min="2" max="2" width="42.63"/>
    <col customWidth="1" hidden="1" min="3" max="3" width="14.13"/>
    <col customWidth="1" hidden="1" min="4" max="4" width="12.13"/>
    <col customWidth="1" min="5" max="5" width="14.13"/>
    <col customWidth="1" min="6" max="7" width="10.63"/>
    <col customWidth="1" min="8" max="8" width="9.88"/>
    <col customWidth="1" min="9" max="9" width="11.88"/>
    <col customWidth="1" min="10" max="10" width="14.0"/>
    <col customWidth="1" hidden="1" min="11" max="11" width="8.13"/>
    <col customWidth="1" min="12" max="12" width="16.13"/>
    <col customWidth="1" min="13" max="13" width="13.63"/>
    <col customWidth="1" hidden="1" min="14" max="14" width="6.88"/>
    <col customWidth="1" min="15" max="15" width="25.38"/>
    <col customWidth="1" min="16" max="26" width="9.13"/>
  </cols>
  <sheetData>
    <row r="1" ht="12.75" customHeight="1">
      <c r="A1" s="18" t="s">
        <v>127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 ht="12.75" customHeight="1">
      <c r="A2" s="19" t="s">
        <v>28</v>
      </c>
      <c r="B2" s="19"/>
      <c r="C2" s="19"/>
      <c r="D2" s="19"/>
      <c r="E2" s="19"/>
      <c r="F2" s="20"/>
      <c r="K2" s="19"/>
      <c r="L2" s="19"/>
    </row>
    <row r="3" ht="12.75" customHeight="1">
      <c r="A3" s="19" t="s">
        <v>29</v>
      </c>
      <c r="B3" s="19"/>
      <c r="K3" s="19"/>
      <c r="L3" s="19"/>
    </row>
    <row r="4" ht="12.75" customHeight="1">
      <c r="A4" s="21" t="s">
        <v>30</v>
      </c>
      <c r="B4" s="21" t="s">
        <v>3</v>
      </c>
      <c r="C4" s="21" t="s">
        <v>4</v>
      </c>
      <c r="D4" s="21" t="s">
        <v>5</v>
      </c>
      <c r="E4" s="22">
        <v>1.0</v>
      </c>
      <c r="F4" s="22">
        <v>2.0</v>
      </c>
      <c r="G4" s="22">
        <v>3.0</v>
      </c>
      <c r="H4" s="22">
        <v>4.0</v>
      </c>
      <c r="I4" s="22">
        <v>5.0</v>
      </c>
      <c r="J4" s="22" t="s">
        <v>31</v>
      </c>
      <c r="K4" s="23" t="s">
        <v>32</v>
      </c>
      <c r="L4" s="22" t="s">
        <v>33</v>
      </c>
      <c r="M4" s="22" t="s">
        <v>34</v>
      </c>
      <c r="N4" s="18" t="s">
        <v>32</v>
      </c>
      <c r="O4" s="24" t="s">
        <v>35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 ht="12.75" customHeight="1">
      <c r="A5" s="80">
        <v>1.0</v>
      </c>
      <c r="B5" s="27" t="s">
        <v>38</v>
      </c>
      <c r="C5" s="33"/>
      <c r="D5" s="33"/>
      <c r="E5" s="29">
        <v>9.88</v>
      </c>
      <c r="F5" s="29">
        <v>10.86</v>
      </c>
      <c r="G5" s="29">
        <v>11.35</v>
      </c>
      <c r="H5" s="29">
        <v>8.45</v>
      </c>
      <c r="I5" s="29">
        <v>8.98</v>
      </c>
      <c r="J5" s="30">
        <f t="shared" ref="J5:J12" si="1">IF(MIN(E5:I5)&gt;0,MIN(E5:I5),IF(COUNTBLANK(E5:I5)=5,"","DNF"))</f>
        <v>8.45</v>
      </c>
      <c r="K5" s="30"/>
      <c r="L5" s="30">
        <f t="shared" ref="L5:L43" si="2">IF(COUNTBLANK(E5:I5)&gt;0,"",IF(COUNTIF(E5:I5,"DNF")+COUNTIF(E5:I5,"DNS")&gt;0,"DNF",MAX(E5:I5)))</f>
        <v>11.35</v>
      </c>
      <c r="M5" s="30">
        <f t="shared" ref="M5:M27" si="3">IF(COUNTBLANK(E5:I5)&gt;0,"",IF(COUNTIF(E5:I5,"DNF")+COUNTIF(E5:I5,"DNS")&gt;1,"DNF",ROUND(IF(COUNTIF(E5:I5,"DNF")+COUNTIF(E5:I5,"DNS")&gt;0,(SUM(E5:I5)-J5)/3,(SUM(E5:I5)-J5-L5)/3),2)))</f>
        <v>9.91</v>
      </c>
      <c r="N5" s="25"/>
      <c r="O5" s="31">
        <f t="shared" ref="O5:O43" si="4">M5/86400</f>
        <v>0.0001146990741</v>
      </c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</row>
    <row r="6" ht="12.75" customHeight="1">
      <c r="A6" s="80">
        <v>2.0</v>
      </c>
      <c r="B6" s="27" t="s">
        <v>37</v>
      </c>
      <c r="C6" s="28"/>
      <c r="D6" s="28"/>
      <c r="E6" s="29">
        <v>9.45</v>
      </c>
      <c r="F6" s="29">
        <v>9.52</v>
      </c>
      <c r="G6" s="29">
        <v>11.07</v>
      </c>
      <c r="H6" s="29">
        <v>11.44</v>
      </c>
      <c r="I6" s="29">
        <v>11.71</v>
      </c>
      <c r="J6" s="30">
        <f t="shared" si="1"/>
        <v>9.45</v>
      </c>
      <c r="K6" s="30"/>
      <c r="L6" s="30">
        <f t="shared" si="2"/>
        <v>11.71</v>
      </c>
      <c r="M6" s="30">
        <f t="shared" si="3"/>
        <v>10.68</v>
      </c>
      <c r="N6" s="25"/>
      <c r="O6" s="31">
        <f t="shared" si="4"/>
        <v>0.0001236111111</v>
      </c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</row>
    <row r="7" ht="12.75" customHeight="1">
      <c r="A7" s="80">
        <v>3.0</v>
      </c>
      <c r="B7" s="27" t="s">
        <v>36</v>
      </c>
      <c r="C7" s="28"/>
      <c r="D7" s="28"/>
      <c r="E7" s="29">
        <v>9.41</v>
      </c>
      <c r="F7" s="29">
        <v>15.35</v>
      </c>
      <c r="G7" s="29">
        <v>11.49</v>
      </c>
      <c r="H7" s="29">
        <v>8.55</v>
      </c>
      <c r="I7" s="29">
        <v>11.82</v>
      </c>
      <c r="J7" s="30">
        <f t="shared" si="1"/>
        <v>8.55</v>
      </c>
      <c r="K7" s="30"/>
      <c r="L7" s="30">
        <f t="shared" si="2"/>
        <v>15.35</v>
      </c>
      <c r="M7" s="30">
        <f t="shared" si="3"/>
        <v>10.91</v>
      </c>
      <c r="N7" s="25"/>
      <c r="O7" s="31">
        <f t="shared" si="4"/>
        <v>0.0001262731481</v>
      </c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</row>
    <row r="8" ht="12.75" customHeight="1">
      <c r="A8" s="80">
        <v>4.0</v>
      </c>
      <c r="B8" s="27"/>
      <c r="C8" s="28"/>
      <c r="D8" s="28"/>
      <c r="E8" s="29"/>
      <c r="F8" s="29"/>
      <c r="G8" s="29"/>
      <c r="H8" s="29"/>
      <c r="I8" s="29"/>
      <c r="J8" s="30" t="str">
        <f t="shared" si="1"/>
        <v/>
      </c>
      <c r="K8" s="30"/>
      <c r="L8" s="30" t="str">
        <f t="shared" si="2"/>
        <v/>
      </c>
      <c r="M8" s="30" t="str">
        <f t="shared" si="3"/>
        <v/>
      </c>
      <c r="N8" s="25"/>
      <c r="O8" s="31">
        <f t="shared" si="4"/>
        <v>0</v>
      </c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</row>
    <row r="9" ht="12.75" customHeight="1">
      <c r="A9" s="80">
        <v>5.0</v>
      </c>
      <c r="B9" s="27"/>
      <c r="C9" s="41"/>
      <c r="D9" s="41"/>
      <c r="E9" s="81"/>
      <c r="F9" s="29"/>
      <c r="G9" s="29"/>
      <c r="H9" s="29"/>
      <c r="I9" s="29"/>
      <c r="J9" s="30" t="str">
        <f t="shared" si="1"/>
        <v/>
      </c>
      <c r="K9" s="30"/>
      <c r="L9" s="30" t="str">
        <f t="shared" si="2"/>
        <v/>
      </c>
      <c r="M9" s="30" t="str">
        <f t="shared" si="3"/>
        <v/>
      </c>
      <c r="N9" s="25"/>
      <c r="O9" s="31">
        <f t="shared" si="4"/>
        <v>0</v>
      </c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 ht="12.75" customHeight="1">
      <c r="A10" s="80">
        <v>6.0</v>
      </c>
      <c r="B10" s="27"/>
      <c r="C10" s="33"/>
      <c r="D10" s="33"/>
      <c r="E10" s="29"/>
      <c r="F10" s="29"/>
      <c r="G10" s="29"/>
      <c r="H10" s="29"/>
      <c r="I10" s="29"/>
      <c r="J10" s="30" t="str">
        <f t="shared" si="1"/>
        <v/>
      </c>
      <c r="K10" s="30"/>
      <c r="L10" s="30" t="str">
        <f t="shared" si="2"/>
        <v/>
      </c>
      <c r="M10" s="30" t="str">
        <f t="shared" si="3"/>
        <v/>
      </c>
      <c r="N10" s="25"/>
      <c r="O10" s="31">
        <f t="shared" si="4"/>
        <v>0</v>
      </c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 ht="12.75" customHeight="1">
      <c r="A11" s="80">
        <v>7.0</v>
      </c>
      <c r="B11" s="27"/>
      <c r="C11" s="33"/>
      <c r="D11" s="33"/>
      <c r="E11" s="29"/>
      <c r="F11" s="29"/>
      <c r="G11" s="29"/>
      <c r="H11" s="29"/>
      <c r="I11" s="29"/>
      <c r="J11" s="30" t="str">
        <f t="shared" si="1"/>
        <v/>
      </c>
      <c r="K11" s="30"/>
      <c r="L11" s="30" t="str">
        <f t="shared" si="2"/>
        <v/>
      </c>
      <c r="M11" s="30" t="str">
        <f t="shared" si="3"/>
        <v/>
      </c>
      <c r="N11" s="25"/>
      <c r="O11" s="31">
        <f t="shared" si="4"/>
        <v>0</v>
      </c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 ht="12.75" customHeight="1">
      <c r="A12" s="80">
        <v>8.0</v>
      </c>
      <c r="B12" s="36"/>
      <c r="C12" s="28"/>
      <c r="D12" s="28"/>
      <c r="E12" s="30"/>
      <c r="F12" s="30"/>
      <c r="G12" s="30"/>
      <c r="H12" s="30"/>
      <c r="I12" s="30"/>
      <c r="J12" s="30" t="str">
        <f t="shared" si="1"/>
        <v/>
      </c>
      <c r="K12" s="30"/>
      <c r="L12" s="30" t="str">
        <f t="shared" si="2"/>
        <v/>
      </c>
      <c r="M12" s="30" t="str">
        <f t="shared" si="3"/>
        <v/>
      </c>
      <c r="N12" s="25"/>
      <c r="O12" s="31">
        <f t="shared" si="4"/>
        <v>0</v>
      </c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 ht="12.75" customHeight="1">
      <c r="A13" s="80">
        <v>9.0</v>
      </c>
      <c r="B13" s="36"/>
      <c r="C13" s="28"/>
      <c r="D13" s="28"/>
      <c r="E13" s="29" t="s">
        <v>150</v>
      </c>
      <c r="F13" s="30"/>
      <c r="G13" s="30"/>
      <c r="H13" s="30"/>
      <c r="I13" s="30"/>
      <c r="J13" s="30"/>
      <c r="K13" s="30"/>
      <c r="L13" s="30" t="str">
        <f t="shared" si="2"/>
        <v/>
      </c>
      <c r="M13" s="30" t="str">
        <f t="shared" si="3"/>
        <v/>
      </c>
      <c r="N13" s="25"/>
      <c r="O13" s="31">
        <f t="shared" si="4"/>
        <v>0</v>
      </c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 ht="12.75" customHeight="1">
      <c r="A14" s="80">
        <v>10.0</v>
      </c>
      <c r="B14" s="36"/>
      <c r="C14" s="28"/>
      <c r="D14" s="28"/>
      <c r="E14" s="30"/>
      <c r="F14" s="30"/>
      <c r="G14" s="30"/>
      <c r="H14" s="30"/>
      <c r="I14" s="30"/>
      <c r="J14" s="30" t="str">
        <f t="shared" ref="J14:J26" si="5">IF(MIN(E14:I14)&gt;0,MIN(E14:I14),IF(COUNTBLANK(E14:I14)=5,"","DNF"))</f>
        <v/>
      </c>
      <c r="K14" s="30"/>
      <c r="L14" s="30" t="str">
        <f t="shared" si="2"/>
        <v/>
      </c>
      <c r="M14" s="30" t="str">
        <f t="shared" si="3"/>
        <v/>
      </c>
      <c r="N14" s="25"/>
      <c r="O14" s="31">
        <f t="shared" si="4"/>
        <v>0</v>
      </c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ht="12.75" customHeight="1">
      <c r="A15" s="80">
        <v>11.0</v>
      </c>
      <c r="B15" s="36"/>
      <c r="C15" s="28"/>
      <c r="D15" s="28"/>
      <c r="E15" s="30"/>
      <c r="F15" s="30"/>
      <c r="G15" s="30"/>
      <c r="H15" s="30"/>
      <c r="I15" s="30"/>
      <c r="J15" s="30" t="str">
        <f t="shared" si="5"/>
        <v/>
      </c>
      <c r="K15" s="30"/>
      <c r="L15" s="30" t="str">
        <f t="shared" si="2"/>
        <v/>
      </c>
      <c r="M15" s="30" t="str">
        <f t="shared" si="3"/>
        <v/>
      </c>
      <c r="N15" s="25"/>
      <c r="O15" s="31">
        <f t="shared" si="4"/>
        <v>0</v>
      </c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ht="12.75" customHeight="1">
      <c r="A16" s="80">
        <v>12.0</v>
      </c>
      <c r="B16" s="36"/>
      <c r="C16" s="28"/>
      <c r="D16" s="28"/>
      <c r="E16" s="30"/>
      <c r="F16" s="30"/>
      <c r="G16" s="30"/>
      <c r="H16" s="30"/>
      <c r="I16" s="30"/>
      <c r="J16" s="30" t="str">
        <f t="shared" si="5"/>
        <v/>
      </c>
      <c r="K16" s="30"/>
      <c r="L16" s="30" t="str">
        <f t="shared" si="2"/>
        <v/>
      </c>
      <c r="M16" s="30" t="str">
        <f t="shared" si="3"/>
        <v/>
      </c>
      <c r="N16" s="25"/>
      <c r="O16" s="31">
        <f t="shared" si="4"/>
        <v>0</v>
      </c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 ht="12.75" customHeight="1">
      <c r="A17" s="55">
        <v>14.0</v>
      </c>
      <c r="B17" s="36"/>
      <c r="C17" s="28"/>
      <c r="D17" s="28"/>
      <c r="E17" s="30"/>
      <c r="F17" s="30"/>
      <c r="G17" s="30"/>
      <c r="H17" s="30"/>
      <c r="I17" s="30"/>
      <c r="J17" s="30" t="str">
        <f t="shared" si="5"/>
        <v/>
      </c>
      <c r="K17" s="30"/>
      <c r="L17" s="30" t="str">
        <f t="shared" si="2"/>
        <v/>
      </c>
      <c r="M17" s="30" t="str">
        <f t="shared" si="3"/>
        <v/>
      </c>
      <c r="N17" s="25"/>
      <c r="O17" s="31">
        <f t="shared" si="4"/>
        <v>0</v>
      </c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 ht="12.75" customHeight="1">
      <c r="A18" s="55">
        <v>15.0</v>
      </c>
      <c r="B18" s="36"/>
      <c r="C18" s="28"/>
      <c r="D18" s="28"/>
      <c r="E18" s="30"/>
      <c r="F18" s="30"/>
      <c r="G18" s="30"/>
      <c r="H18" s="30"/>
      <c r="I18" s="30"/>
      <c r="J18" s="30" t="str">
        <f t="shared" si="5"/>
        <v/>
      </c>
      <c r="K18" s="30"/>
      <c r="L18" s="30" t="str">
        <f t="shared" si="2"/>
        <v/>
      </c>
      <c r="M18" s="30" t="str">
        <f t="shared" si="3"/>
        <v/>
      </c>
      <c r="N18" s="25"/>
      <c r="O18" s="31">
        <f t="shared" si="4"/>
        <v>0</v>
      </c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 ht="12.75" customHeight="1">
      <c r="A19" s="55">
        <v>16.0</v>
      </c>
      <c r="B19" s="36"/>
      <c r="C19" s="28"/>
      <c r="D19" s="28"/>
      <c r="E19" s="30"/>
      <c r="F19" s="30"/>
      <c r="G19" s="30"/>
      <c r="H19" s="30"/>
      <c r="I19" s="30"/>
      <c r="J19" s="30" t="str">
        <f t="shared" si="5"/>
        <v/>
      </c>
      <c r="K19" s="30"/>
      <c r="L19" s="30" t="str">
        <f t="shared" si="2"/>
        <v/>
      </c>
      <c r="M19" s="30" t="str">
        <f t="shared" si="3"/>
        <v/>
      </c>
      <c r="N19" s="25"/>
      <c r="O19" s="31">
        <f t="shared" si="4"/>
        <v>0</v>
      </c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 ht="12.75" customHeight="1">
      <c r="A20" s="55">
        <v>17.0</v>
      </c>
      <c r="B20" s="36"/>
      <c r="C20" s="28"/>
      <c r="D20" s="28"/>
      <c r="E20" s="30"/>
      <c r="F20" s="30"/>
      <c r="G20" s="30"/>
      <c r="H20" s="30"/>
      <c r="I20" s="30"/>
      <c r="J20" s="30" t="str">
        <f t="shared" si="5"/>
        <v/>
      </c>
      <c r="K20" s="30"/>
      <c r="L20" s="30" t="str">
        <f t="shared" si="2"/>
        <v/>
      </c>
      <c r="M20" s="30" t="str">
        <f t="shared" si="3"/>
        <v/>
      </c>
      <c r="N20" s="25"/>
      <c r="O20" s="31">
        <f t="shared" si="4"/>
        <v>0</v>
      </c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 ht="12.75" customHeight="1">
      <c r="A21" s="55">
        <v>18.0</v>
      </c>
      <c r="B21" s="36"/>
      <c r="C21" s="33"/>
      <c r="D21" s="33"/>
      <c r="E21" s="35"/>
      <c r="F21" s="35"/>
      <c r="G21" s="35"/>
      <c r="H21" s="35"/>
      <c r="I21" s="35"/>
      <c r="J21" s="35" t="str">
        <f t="shared" si="5"/>
        <v/>
      </c>
      <c r="K21" s="35"/>
      <c r="L21" s="35" t="str">
        <f t="shared" si="2"/>
        <v/>
      </c>
      <c r="M21" s="35" t="str">
        <f t="shared" si="3"/>
        <v/>
      </c>
      <c r="N21" s="25"/>
      <c r="O21" s="31">
        <f t="shared" si="4"/>
        <v>0</v>
      </c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 ht="12.75" customHeight="1">
      <c r="A22" s="55">
        <v>19.0</v>
      </c>
      <c r="B22" s="36"/>
      <c r="C22" s="28"/>
      <c r="D22" s="28"/>
      <c r="E22" s="30"/>
      <c r="F22" s="30"/>
      <c r="G22" s="30"/>
      <c r="H22" s="30"/>
      <c r="I22" s="30"/>
      <c r="J22" s="30" t="str">
        <f t="shared" si="5"/>
        <v/>
      </c>
      <c r="K22" s="30"/>
      <c r="L22" s="30" t="str">
        <f t="shared" si="2"/>
        <v/>
      </c>
      <c r="M22" s="30" t="str">
        <f t="shared" si="3"/>
        <v/>
      </c>
      <c r="N22" s="25"/>
      <c r="O22" s="31">
        <f t="shared" si="4"/>
        <v>0</v>
      </c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 ht="12.75" customHeight="1">
      <c r="A23" s="55">
        <v>20.0</v>
      </c>
      <c r="B23" s="36"/>
      <c r="C23" s="28"/>
      <c r="D23" s="28"/>
      <c r="E23" s="30"/>
      <c r="F23" s="30"/>
      <c r="G23" s="30"/>
      <c r="H23" s="30"/>
      <c r="I23" s="30"/>
      <c r="J23" s="30" t="str">
        <f t="shared" si="5"/>
        <v/>
      </c>
      <c r="K23" s="30"/>
      <c r="L23" s="30" t="str">
        <f t="shared" si="2"/>
        <v/>
      </c>
      <c r="M23" s="30" t="str">
        <f t="shared" si="3"/>
        <v/>
      </c>
      <c r="N23" s="25"/>
      <c r="O23" s="31">
        <f t="shared" si="4"/>
        <v>0</v>
      </c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 ht="12.75" customHeight="1">
      <c r="A24" s="55">
        <v>21.0</v>
      </c>
      <c r="B24" s="36"/>
      <c r="C24" s="28"/>
      <c r="D24" s="28"/>
      <c r="E24" s="30"/>
      <c r="F24" s="30"/>
      <c r="G24" s="30"/>
      <c r="H24" s="30"/>
      <c r="I24" s="30"/>
      <c r="J24" s="30" t="str">
        <f t="shared" si="5"/>
        <v/>
      </c>
      <c r="K24" s="30"/>
      <c r="L24" s="30" t="str">
        <f t="shared" si="2"/>
        <v/>
      </c>
      <c r="M24" s="30" t="str">
        <f t="shared" si="3"/>
        <v/>
      </c>
      <c r="N24" s="25"/>
      <c r="O24" s="31">
        <f t="shared" si="4"/>
        <v>0</v>
      </c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 ht="12.75" customHeight="1">
      <c r="A25" s="55">
        <v>22.0</v>
      </c>
      <c r="B25" s="36"/>
      <c r="C25" s="28"/>
      <c r="D25" s="28"/>
      <c r="E25" s="30"/>
      <c r="F25" s="30"/>
      <c r="G25" s="30"/>
      <c r="H25" s="30"/>
      <c r="I25" s="30"/>
      <c r="J25" s="30" t="str">
        <f t="shared" si="5"/>
        <v/>
      </c>
      <c r="K25" s="30"/>
      <c r="L25" s="30" t="str">
        <f t="shared" si="2"/>
        <v/>
      </c>
      <c r="M25" s="30" t="str">
        <f t="shared" si="3"/>
        <v/>
      </c>
      <c r="N25" s="25"/>
      <c r="O25" s="31">
        <f t="shared" si="4"/>
        <v>0</v>
      </c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 ht="12.75" customHeight="1">
      <c r="A26" s="55">
        <v>23.0</v>
      </c>
      <c r="B26" s="36"/>
      <c r="C26" s="28"/>
      <c r="D26" s="28"/>
      <c r="E26" s="30"/>
      <c r="F26" s="30"/>
      <c r="G26" s="30"/>
      <c r="H26" s="30"/>
      <c r="I26" s="30"/>
      <c r="J26" s="30" t="str">
        <f t="shared" si="5"/>
        <v/>
      </c>
      <c r="K26" s="30"/>
      <c r="L26" s="30" t="str">
        <f t="shared" si="2"/>
        <v/>
      </c>
      <c r="M26" s="30" t="str">
        <f t="shared" si="3"/>
        <v/>
      </c>
      <c r="N26" s="25"/>
      <c r="O26" s="31">
        <f t="shared" si="4"/>
        <v>0</v>
      </c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 ht="12.75" customHeight="1">
      <c r="A27" s="55">
        <v>24.0</v>
      </c>
      <c r="B27" s="36"/>
      <c r="C27" s="28"/>
      <c r="D27" s="28"/>
      <c r="E27" s="30"/>
      <c r="F27" s="30"/>
      <c r="G27" s="30"/>
      <c r="H27" s="30"/>
      <c r="I27" s="30"/>
      <c r="J27" s="30">
        <v>54.39</v>
      </c>
      <c r="K27" s="30"/>
      <c r="L27" s="30" t="str">
        <f t="shared" si="2"/>
        <v/>
      </c>
      <c r="M27" s="30" t="str">
        <f t="shared" si="3"/>
        <v/>
      </c>
      <c r="N27" s="25"/>
      <c r="O27" s="31">
        <f t="shared" si="4"/>
        <v>0</v>
      </c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 ht="12.75" customHeight="1">
      <c r="A28" s="55">
        <v>25.0</v>
      </c>
      <c r="B28" s="36"/>
      <c r="C28" s="28"/>
      <c r="D28" s="28"/>
      <c r="E28" s="30"/>
      <c r="F28" s="30"/>
      <c r="G28" s="30"/>
      <c r="H28" s="30"/>
      <c r="I28" s="30"/>
      <c r="J28" s="30" t="str">
        <f t="shared" ref="J28:J43" si="6">IF(MIN(E28:I28)&gt;0,MIN(E28:I28),IF(COUNTBLANK(E28:I28)=5,"","DNF"))</f>
        <v/>
      </c>
      <c r="K28" s="30"/>
      <c r="L28" s="30" t="str">
        <f t="shared" si="2"/>
        <v/>
      </c>
      <c r="M28" s="30" t="str">
        <f>IF(COUNTBLANK(E28:I28)&gt;0,"",IF(COUNTIF(E28:I28,"DNF")+COUNTIF(E28:I28,"DNS")&gt;1,"DNF",IF(COUNTIF(E28:I28,"DNF")+COUNTIF(E28:I28,"DNS")&gt;0,(SUM(E28:I28)-J28)/3,(SUM(E28:I28)-J28-L28)/3)))</f>
        <v/>
      </c>
      <c r="N28" s="25"/>
      <c r="O28" s="31">
        <f t="shared" si="4"/>
        <v>0</v>
      </c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ht="12.75" customHeight="1">
      <c r="A29" s="55">
        <v>26.0</v>
      </c>
      <c r="B29" s="36"/>
      <c r="C29" s="28"/>
      <c r="D29" s="28"/>
      <c r="E29" s="30"/>
      <c r="F29" s="30"/>
      <c r="G29" s="30"/>
      <c r="H29" s="30"/>
      <c r="I29" s="30"/>
      <c r="J29" s="30" t="str">
        <f t="shared" si="6"/>
        <v/>
      </c>
      <c r="K29" s="30"/>
      <c r="L29" s="30" t="str">
        <f t="shared" si="2"/>
        <v/>
      </c>
      <c r="M29" s="30" t="str">
        <f t="shared" ref="M29:M41" si="7">IF(COUNTBLANK(E29:I29)&gt;0,"",IF(COUNTIF(E29:I29,"DNF")+COUNTIF(E29:I29,"DNS")&gt;1,"DNF",ROUND(IF(COUNTIF(E29:I29,"DNF")+COUNTIF(E29:I29,"DNS")&gt;0,(SUM(E29:I29)-J29)/3,(SUM(E29:I29)-J29-L29)/3),2)))</f>
        <v/>
      </c>
      <c r="N29" s="25"/>
      <c r="O29" s="31">
        <f t="shared" si="4"/>
        <v>0</v>
      </c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 ht="12.75" customHeight="1">
      <c r="A30" s="55">
        <v>27.0</v>
      </c>
      <c r="B30" s="36"/>
      <c r="C30" s="28"/>
      <c r="D30" s="28"/>
      <c r="E30" s="30"/>
      <c r="F30" s="30"/>
      <c r="G30" s="30"/>
      <c r="H30" s="30"/>
      <c r="I30" s="30"/>
      <c r="J30" s="30" t="str">
        <f t="shared" si="6"/>
        <v/>
      </c>
      <c r="K30" s="30"/>
      <c r="L30" s="30" t="str">
        <f t="shared" si="2"/>
        <v/>
      </c>
      <c r="M30" s="30" t="str">
        <f t="shared" si="7"/>
        <v/>
      </c>
      <c r="N30" s="25"/>
      <c r="O30" s="31">
        <f t="shared" si="4"/>
        <v>0</v>
      </c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 ht="12.75" customHeight="1">
      <c r="A31" s="55">
        <v>28.0</v>
      </c>
      <c r="B31" s="36"/>
      <c r="C31" s="28"/>
      <c r="D31" s="28"/>
      <c r="E31" s="30"/>
      <c r="F31" s="30"/>
      <c r="G31" s="30"/>
      <c r="H31" s="30"/>
      <c r="I31" s="30"/>
      <c r="J31" s="30" t="str">
        <f t="shared" si="6"/>
        <v/>
      </c>
      <c r="K31" s="30"/>
      <c r="L31" s="30" t="str">
        <f t="shared" si="2"/>
        <v/>
      </c>
      <c r="M31" s="30" t="str">
        <f t="shared" si="7"/>
        <v/>
      </c>
      <c r="N31" s="25"/>
      <c r="O31" s="31">
        <f t="shared" si="4"/>
        <v>0</v>
      </c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 ht="12.75" customHeight="1">
      <c r="A32" s="55">
        <v>29.0</v>
      </c>
      <c r="B32" s="36"/>
      <c r="C32" s="28"/>
      <c r="D32" s="28"/>
      <c r="E32" s="30"/>
      <c r="F32" s="30"/>
      <c r="G32" s="30"/>
      <c r="H32" s="30"/>
      <c r="I32" s="30"/>
      <c r="J32" s="30" t="str">
        <f t="shared" si="6"/>
        <v/>
      </c>
      <c r="K32" s="30"/>
      <c r="L32" s="30" t="str">
        <f t="shared" si="2"/>
        <v/>
      </c>
      <c r="M32" s="30" t="str">
        <f t="shared" si="7"/>
        <v/>
      </c>
      <c r="N32" s="25"/>
      <c r="O32" s="31">
        <f t="shared" si="4"/>
        <v>0</v>
      </c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 ht="12.75" customHeight="1">
      <c r="A33" s="55">
        <v>30.0</v>
      </c>
      <c r="B33" s="36"/>
      <c r="C33" s="28"/>
      <c r="D33" s="28"/>
      <c r="E33" s="30"/>
      <c r="F33" s="30"/>
      <c r="G33" s="30"/>
      <c r="H33" s="30"/>
      <c r="I33" s="30"/>
      <c r="J33" s="30" t="str">
        <f t="shared" si="6"/>
        <v/>
      </c>
      <c r="K33" s="30"/>
      <c r="L33" s="30" t="str">
        <f t="shared" si="2"/>
        <v/>
      </c>
      <c r="M33" s="30" t="str">
        <f t="shared" si="7"/>
        <v/>
      </c>
      <c r="N33" s="25"/>
      <c r="O33" s="31">
        <f t="shared" si="4"/>
        <v>0</v>
      </c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ht="12.75" customHeight="1">
      <c r="A34" s="55">
        <v>31.0</v>
      </c>
      <c r="B34" s="36"/>
      <c r="C34" s="28"/>
      <c r="D34" s="28"/>
      <c r="E34" s="30"/>
      <c r="F34" s="30"/>
      <c r="G34" s="30"/>
      <c r="H34" s="30"/>
      <c r="I34" s="30"/>
      <c r="J34" s="30" t="str">
        <f t="shared" si="6"/>
        <v/>
      </c>
      <c r="K34" s="30"/>
      <c r="L34" s="30" t="str">
        <f t="shared" si="2"/>
        <v/>
      </c>
      <c r="M34" s="30" t="str">
        <f t="shared" si="7"/>
        <v/>
      </c>
      <c r="N34" s="25"/>
      <c r="O34" s="31">
        <f t="shared" si="4"/>
        <v>0</v>
      </c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 ht="12.75" customHeight="1">
      <c r="A35" s="55">
        <v>32.0</v>
      </c>
      <c r="B35" s="36"/>
      <c r="C35" s="28"/>
      <c r="D35" s="28"/>
      <c r="E35" s="30"/>
      <c r="F35" s="30"/>
      <c r="G35" s="30"/>
      <c r="H35" s="30"/>
      <c r="I35" s="30"/>
      <c r="J35" s="30" t="str">
        <f t="shared" si="6"/>
        <v/>
      </c>
      <c r="K35" s="30"/>
      <c r="L35" s="30" t="str">
        <f t="shared" si="2"/>
        <v/>
      </c>
      <c r="M35" s="30" t="str">
        <f t="shared" si="7"/>
        <v/>
      </c>
      <c r="N35" s="25"/>
      <c r="O35" s="31">
        <f t="shared" si="4"/>
        <v>0</v>
      </c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 ht="12.75" customHeight="1">
      <c r="A36" s="55">
        <v>33.0</v>
      </c>
      <c r="B36" s="36"/>
      <c r="C36" s="28"/>
      <c r="D36" s="28"/>
      <c r="E36" s="30"/>
      <c r="F36" s="30"/>
      <c r="G36" s="30"/>
      <c r="H36" s="30"/>
      <c r="I36" s="30"/>
      <c r="J36" s="30" t="str">
        <f t="shared" si="6"/>
        <v/>
      </c>
      <c r="K36" s="30"/>
      <c r="L36" s="30" t="str">
        <f t="shared" si="2"/>
        <v/>
      </c>
      <c r="M36" s="30" t="str">
        <f t="shared" si="7"/>
        <v/>
      </c>
      <c r="N36" s="25"/>
      <c r="O36" s="31">
        <f t="shared" si="4"/>
        <v>0</v>
      </c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 ht="12.75" customHeight="1">
      <c r="A37" s="55">
        <v>34.0</v>
      </c>
      <c r="B37" s="36"/>
      <c r="C37" s="28"/>
      <c r="D37" s="28"/>
      <c r="E37" s="30"/>
      <c r="F37" s="30"/>
      <c r="G37" s="30"/>
      <c r="H37" s="30"/>
      <c r="I37" s="30"/>
      <c r="J37" s="30" t="str">
        <f t="shared" si="6"/>
        <v/>
      </c>
      <c r="K37" s="30"/>
      <c r="L37" s="30" t="str">
        <f t="shared" si="2"/>
        <v/>
      </c>
      <c r="M37" s="30" t="str">
        <f t="shared" si="7"/>
        <v/>
      </c>
      <c r="N37" s="25"/>
      <c r="O37" s="31">
        <f t="shared" si="4"/>
        <v>0</v>
      </c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ht="12.75" customHeight="1">
      <c r="A38" s="55">
        <v>35.0</v>
      </c>
      <c r="B38" s="36"/>
      <c r="C38" s="28"/>
      <c r="D38" s="28"/>
      <c r="E38" s="30"/>
      <c r="F38" s="30"/>
      <c r="G38" s="30"/>
      <c r="H38" s="30"/>
      <c r="I38" s="30"/>
      <c r="J38" s="30" t="str">
        <f t="shared" si="6"/>
        <v/>
      </c>
      <c r="K38" s="30"/>
      <c r="L38" s="30" t="str">
        <f t="shared" si="2"/>
        <v/>
      </c>
      <c r="M38" s="30" t="str">
        <f t="shared" si="7"/>
        <v/>
      </c>
      <c r="N38" s="25"/>
      <c r="O38" s="31">
        <f t="shared" si="4"/>
        <v>0</v>
      </c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 ht="12.75" customHeight="1">
      <c r="A39" s="55">
        <v>36.0</v>
      </c>
      <c r="B39" s="36"/>
      <c r="C39" s="28"/>
      <c r="D39" s="28"/>
      <c r="E39" s="30"/>
      <c r="F39" s="30"/>
      <c r="G39" s="30"/>
      <c r="H39" s="30"/>
      <c r="I39" s="30"/>
      <c r="J39" s="30" t="str">
        <f t="shared" si="6"/>
        <v/>
      </c>
      <c r="K39" s="30"/>
      <c r="L39" s="30" t="str">
        <f t="shared" si="2"/>
        <v/>
      </c>
      <c r="M39" s="30" t="str">
        <f t="shared" si="7"/>
        <v/>
      </c>
      <c r="N39" s="25"/>
      <c r="O39" s="31">
        <f t="shared" si="4"/>
        <v>0</v>
      </c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 ht="12.75" customHeight="1">
      <c r="A40" s="55">
        <v>37.0</v>
      </c>
      <c r="B40" s="36"/>
      <c r="C40" s="28"/>
      <c r="D40" s="28"/>
      <c r="E40" s="30"/>
      <c r="F40" s="30"/>
      <c r="G40" s="30"/>
      <c r="H40" s="30"/>
      <c r="I40" s="30"/>
      <c r="J40" s="30" t="str">
        <f t="shared" si="6"/>
        <v/>
      </c>
      <c r="K40" s="30"/>
      <c r="L40" s="30" t="str">
        <f t="shared" si="2"/>
        <v/>
      </c>
      <c r="M40" s="30" t="str">
        <f t="shared" si="7"/>
        <v/>
      </c>
      <c r="N40" s="25"/>
      <c r="O40" s="31">
        <f t="shared" si="4"/>
        <v>0</v>
      </c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 ht="12.75" customHeight="1">
      <c r="A41" s="55">
        <f>IF(AND(M40=M41,J40=J41),A40,ROW()-4)</f>
        <v>37</v>
      </c>
      <c r="B41" s="36"/>
      <c r="C41" s="28"/>
      <c r="D41" s="28"/>
      <c r="E41" s="30"/>
      <c r="F41" s="30"/>
      <c r="G41" s="30"/>
      <c r="H41" s="30"/>
      <c r="I41" s="30"/>
      <c r="J41" s="30" t="str">
        <f t="shared" si="6"/>
        <v/>
      </c>
      <c r="K41" s="30"/>
      <c r="L41" s="30" t="str">
        <f t="shared" si="2"/>
        <v/>
      </c>
      <c r="M41" s="30" t="str">
        <f t="shared" si="7"/>
        <v/>
      </c>
      <c r="N41" s="25"/>
      <c r="O41" s="31">
        <f t="shared" si="4"/>
        <v>0</v>
      </c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 ht="12.75" customHeight="1">
      <c r="A42" s="55">
        <v>15.0</v>
      </c>
      <c r="B42" s="36"/>
      <c r="E42" s="44"/>
      <c r="F42" s="44"/>
      <c r="G42" s="44"/>
      <c r="H42" s="44"/>
      <c r="I42" s="44"/>
      <c r="J42" s="44" t="str">
        <f t="shared" si="6"/>
        <v/>
      </c>
      <c r="K42" s="45"/>
      <c r="L42" s="44" t="str">
        <f t="shared" si="2"/>
        <v/>
      </c>
      <c r="M42" s="44" t="str">
        <f>IF(COUNTBLANK(E42:I42)&gt;0,"",IF(COUNTIF(E42:I42,"DNF")+COUNTIF(E42:I42,"DNS")&gt;1,"DNF",IF(COUNTIF(E42:I42,"DNF")+COUNTIF(E42:I42,"DNS")&gt;0,(SUM(E42:I42)-J42)/3,(SUM(E42:I42)-J42-L42)/3)))</f>
        <v/>
      </c>
      <c r="N42" s="25"/>
      <c r="O42" s="31">
        <f t="shared" si="4"/>
        <v>0</v>
      </c>
    </row>
    <row r="43" ht="12.75" customHeight="1">
      <c r="E43" s="35"/>
      <c r="F43" s="35"/>
      <c r="G43" s="35"/>
      <c r="H43" s="35"/>
      <c r="I43" s="35"/>
      <c r="J43" s="35" t="str">
        <f t="shared" si="6"/>
        <v/>
      </c>
      <c r="K43" s="35"/>
      <c r="L43" s="35" t="str">
        <f t="shared" si="2"/>
        <v/>
      </c>
      <c r="M43" s="35" t="str">
        <f>IF(COUNTBLANK(E43:I43)&gt;0,"",IF(COUNTIF(E43:I43,"DNF")+COUNTIF(E43:I43,"DNS")&gt;1,"DNF",ROUND(IF(COUNTIF(E43:I43,"DNF")+COUNTIF(E43:I43,"DNS")&gt;0,(SUM(E43:I43)-J43)/3,(SUM(E43:I43)-J43-L43)/3),2)))</f>
        <v/>
      </c>
      <c r="N43" s="25"/>
      <c r="O43" s="31">
        <f t="shared" si="4"/>
        <v>0</v>
      </c>
    </row>
    <row r="44" ht="12.75" customHeight="1">
      <c r="E44" s="40"/>
      <c r="F44" s="40"/>
      <c r="G44" s="40"/>
      <c r="H44" s="40"/>
      <c r="I44" s="40"/>
      <c r="J44" s="40"/>
      <c r="K44" s="40"/>
      <c r="L44" s="40"/>
      <c r="M44" s="40"/>
    </row>
    <row r="45" ht="12.75" customHeight="1">
      <c r="E45" s="40"/>
      <c r="F45" s="40"/>
      <c r="G45" s="40"/>
      <c r="H45" s="40"/>
      <c r="I45" s="40"/>
      <c r="J45" s="40"/>
      <c r="K45" s="40"/>
      <c r="L45" s="40"/>
      <c r="M45" s="40"/>
    </row>
    <row r="46" ht="12.75" customHeight="1">
      <c r="E46" s="40"/>
      <c r="F46" s="40"/>
      <c r="G46" s="40"/>
      <c r="H46" s="40"/>
      <c r="I46" s="40"/>
      <c r="J46" s="40"/>
      <c r="K46" s="40"/>
      <c r="L46" s="40"/>
      <c r="M46" s="40"/>
    </row>
    <row r="47" ht="12.75" customHeight="1">
      <c r="E47" s="40"/>
      <c r="F47" s="40"/>
      <c r="G47" s="40"/>
      <c r="H47" s="40"/>
      <c r="I47" s="40"/>
      <c r="J47" s="40"/>
      <c r="K47" s="40"/>
      <c r="L47" s="40"/>
      <c r="M47" s="40"/>
    </row>
    <row r="48" ht="12.75" customHeight="1">
      <c r="E48" s="40"/>
      <c r="F48" s="40"/>
      <c r="G48" s="40"/>
      <c r="H48" s="40"/>
      <c r="I48" s="40"/>
      <c r="J48" s="40"/>
      <c r="K48" s="40"/>
      <c r="L48" s="40"/>
      <c r="M48" s="40"/>
    </row>
    <row r="49" ht="12.75" customHeight="1">
      <c r="E49" s="40"/>
      <c r="F49" s="40"/>
      <c r="G49" s="40"/>
      <c r="H49" s="40"/>
      <c r="I49" s="40"/>
      <c r="J49" s="40"/>
      <c r="K49" s="40"/>
      <c r="L49" s="40"/>
      <c r="M49" s="40"/>
    </row>
    <row r="50" ht="12.75" customHeight="1">
      <c r="E50" s="40"/>
      <c r="F50" s="40"/>
      <c r="G50" s="40"/>
      <c r="H50" s="40"/>
      <c r="I50" s="40"/>
      <c r="J50" s="40"/>
      <c r="K50" s="40"/>
      <c r="L50" s="40"/>
      <c r="M50" s="40"/>
    </row>
    <row r="51" ht="12.75" customHeight="1">
      <c r="E51" s="40"/>
      <c r="F51" s="40"/>
      <c r="G51" s="40"/>
      <c r="H51" s="40"/>
      <c r="I51" s="40"/>
      <c r="J51" s="40"/>
      <c r="K51" s="40"/>
      <c r="L51" s="40"/>
      <c r="M51" s="40"/>
    </row>
    <row r="52" ht="12.75" customHeight="1">
      <c r="E52" s="40"/>
      <c r="F52" s="40"/>
      <c r="G52" s="40"/>
      <c r="H52" s="40"/>
      <c r="I52" s="40"/>
      <c r="J52" s="40"/>
      <c r="K52" s="40"/>
      <c r="L52" s="40"/>
      <c r="M52" s="40"/>
    </row>
    <row r="53" ht="12.75" customHeight="1">
      <c r="E53" s="40"/>
      <c r="F53" s="40"/>
      <c r="G53" s="40"/>
      <c r="H53" s="40"/>
      <c r="I53" s="40"/>
      <c r="J53" s="40"/>
      <c r="K53" s="40"/>
      <c r="L53" s="40"/>
      <c r="M53" s="40"/>
    </row>
    <row r="54" ht="12.75" customHeight="1">
      <c r="E54" s="40"/>
      <c r="F54" s="40"/>
      <c r="G54" s="40"/>
      <c r="H54" s="40"/>
      <c r="I54" s="40"/>
      <c r="J54" s="40"/>
      <c r="K54" s="40"/>
      <c r="L54" s="40"/>
      <c r="M54" s="40"/>
    </row>
    <row r="55" ht="12.75" customHeight="1">
      <c r="E55" s="40"/>
      <c r="F55" s="40"/>
      <c r="G55" s="40"/>
      <c r="H55" s="40"/>
      <c r="I55" s="40"/>
      <c r="J55" s="40"/>
      <c r="K55" s="40"/>
      <c r="L55" s="40"/>
      <c r="M55" s="40"/>
    </row>
    <row r="56" ht="12.75" customHeight="1">
      <c r="E56" s="40"/>
      <c r="F56" s="40"/>
      <c r="G56" s="40"/>
      <c r="H56" s="40"/>
      <c r="I56" s="40"/>
      <c r="J56" s="40"/>
      <c r="K56" s="40"/>
      <c r="L56" s="40"/>
      <c r="M56" s="40"/>
    </row>
    <row r="57" ht="12.75" customHeight="1">
      <c r="E57" s="40"/>
      <c r="F57" s="40"/>
      <c r="G57" s="40"/>
      <c r="H57" s="40"/>
      <c r="I57" s="40"/>
      <c r="J57" s="40"/>
      <c r="K57" s="40"/>
      <c r="L57" s="40"/>
      <c r="M57" s="40"/>
    </row>
    <row r="58" ht="12.75" customHeight="1">
      <c r="E58" s="40"/>
      <c r="F58" s="40"/>
      <c r="G58" s="40"/>
      <c r="H58" s="40"/>
      <c r="I58" s="40"/>
      <c r="J58" s="40"/>
      <c r="K58" s="40"/>
      <c r="L58" s="40"/>
      <c r="M58" s="40"/>
    </row>
    <row r="59" ht="12.75" customHeight="1">
      <c r="E59" s="40"/>
      <c r="F59" s="40"/>
      <c r="G59" s="40"/>
      <c r="H59" s="40"/>
      <c r="I59" s="40"/>
      <c r="J59" s="40"/>
      <c r="K59" s="40"/>
      <c r="L59" s="40"/>
      <c r="M59" s="40"/>
    </row>
    <row r="60" ht="12.75" customHeight="1">
      <c r="E60" s="40"/>
      <c r="F60" s="40"/>
      <c r="G60" s="40"/>
      <c r="H60" s="40"/>
      <c r="I60" s="40"/>
      <c r="J60" s="40"/>
      <c r="K60" s="40"/>
      <c r="L60" s="40"/>
      <c r="M60" s="40"/>
    </row>
    <row r="61" ht="12.75" customHeight="1">
      <c r="E61" s="40"/>
      <c r="F61" s="40"/>
      <c r="G61" s="40"/>
      <c r="H61" s="40"/>
      <c r="I61" s="40"/>
      <c r="J61" s="40"/>
      <c r="K61" s="40"/>
      <c r="L61" s="40"/>
      <c r="M61" s="40"/>
    </row>
    <row r="62" ht="12.75" customHeight="1">
      <c r="E62" s="40"/>
      <c r="F62" s="40"/>
      <c r="G62" s="40"/>
      <c r="H62" s="40"/>
      <c r="I62" s="40"/>
      <c r="J62" s="40"/>
      <c r="K62" s="40"/>
      <c r="L62" s="40"/>
      <c r="M62" s="40"/>
    </row>
    <row r="63" ht="12.75" customHeight="1">
      <c r="E63" s="40"/>
      <c r="F63" s="40"/>
      <c r="G63" s="40"/>
      <c r="H63" s="40"/>
      <c r="I63" s="40"/>
      <c r="J63" s="40"/>
      <c r="K63" s="40"/>
      <c r="L63" s="40"/>
      <c r="M63" s="40"/>
    </row>
    <row r="64" ht="12.75" customHeight="1">
      <c r="E64" s="40"/>
      <c r="F64" s="40"/>
      <c r="G64" s="40"/>
      <c r="H64" s="40"/>
      <c r="I64" s="40"/>
      <c r="J64" s="40"/>
      <c r="K64" s="40"/>
      <c r="L64" s="40"/>
      <c r="M64" s="40"/>
    </row>
    <row r="65" ht="12.75" customHeight="1">
      <c r="E65" s="40"/>
      <c r="F65" s="40"/>
      <c r="G65" s="40"/>
      <c r="H65" s="40"/>
      <c r="I65" s="40"/>
      <c r="J65" s="40"/>
      <c r="K65" s="40"/>
      <c r="L65" s="40"/>
      <c r="M65" s="40"/>
    </row>
    <row r="66" ht="12.75" customHeight="1">
      <c r="E66" s="40"/>
      <c r="F66" s="40"/>
      <c r="G66" s="40"/>
      <c r="H66" s="40"/>
      <c r="I66" s="40"/>
      <c r="J66" s="40"/>
      <c r="K66" s="40"/>
      <c r="L66" s="40"/>
      <c r="M66" s="40"/>
    </row>
    <row r="67" ht="12.75" customHeight="1">
      <c r="E67" s="40"/>
      <c r="F67" s="40"/>
      <c r="G67" s="40"/>
      <c r="H67" s="40"/>
      <c r="I67" s="40"/>
      <c r="J67" s="40"/>
      <c r="K67" s="40"/>
      <c r="L67" s="40"/>
      <c r="M67" s="40"/>
    </row>
    <row r="68" ht="12.75" customHeight="1">
      <c r="E68" s="40"/>
      <c r="F68" s="40"/>
      <c r="G68" s="40"/>
      <c r="H68" s="40"/>
      <c r="I68" s="40"/>
      <c r="J68" s="40"/>
      <c r="K68" s="40"/>
      <c r="L68" s="40"/>
      <c r="M68" s="40"/>
    </row>
    <row r="69" ht="12.75" customHeight="1">
      <c r="E69" s="40"/>
      <c r="F69" s="40"/>
      <c r="G69" s="40"/>
      <c r="H69" s="40"/>
      <c r="I69" s="40"/>
      <c r="J69" s="40"/>
      <c r="K69" s="40"/>
      <c r="L69" s="40"/>
      <c r="M69" s="40"/>
    </row>
    <row r="70" ht="12.75" customHeight="1">
      <c r="E70" s="40"/>
      <c r="F70" s="40"/>
      <c r="G70" s="40"/>
      <c r="H70" s="40"/>
      <c r="I70" s="40"/>
      <c r="J70" s="40"/>
      <c r="K70" s="40"/>
      <c r="L70" s="40"/>
      <c r="M70" s="40"/>
    </row>
    <row r="71" ht="12.75" customHeight="1">
      <c r="E71" s="40"/>
      <c r="F71" s="40"/>
      <c r="G71" s="40"/>
      <c r="H71" s="40"/>
      <c r="I71" s="40"/>
      <c r="J71" s="40"/>
      <c r="K71" s="40"/>
      <c r="L71" s="40"/>
      <c r="M71" s="40"/>
    </row>
    <row r="72" ht="12.75" customHeight="1">
      <c r="E72" s="40"/>
      <c r="F72" s="40"/>
      <c r="G72" s="40"/>
      <c r="H72" s="40"/>
      <c r="I72" s="40"/>
      <c r="J72" s="40"/>
      <c r="K72" s="40"/>
      <c r="L72" s="40"/>
      <c r="M72" s="40"/>
    </row>
    <row r="73" ht="12.75" customHeight="1">
      <c r="E73" s="40"/>
      <c r="F73" s="40"/>
      <c r="G73" s="40"/>
      <c r="H73" s="40"/>
      <c r="I73" s="40"/>
      <c r="J73" s="40"/>
      <c r="K73" s="40"/>
      <c r="L73" s="40"/>
      <c r="M73" s="40"/>
    </row>
    <row r="74" ht="12.75" customHeight="1">
      <c r="E74" s="40"/>
      <c r="F74" s="40"/>
      <c r="G74" s="40"/>
      <c r="H74" s="40"/>
      <c r="I74" s="40"/>
      <c r="J74" s="40"/>
      <c r="K74" s="40"/>
      <c r="L74" s="40"/>
      <c r="M74" s="40"/>
    </row>
    <row r="75" ht="12.75" customHeight="1">
      <c r="E75" s="40"/>
      <c r="F75" s="40"/>
      <c r="G75" s="40"/>
      <c r="H75" s="40"/>
      <c r="I75" s="40"/>
      <c r="J75" s="40"/>
      <c r="K75" s="40"/>
      <c r="L75" s="40"/>
      <c r="M75" s="40"/>
    </row>
    <row r="76" ht="12.75" customHeight="1">
      <c r="E76" s="40"/>
      <c r="F76" s="40"/>
      <c r="G76" s="40"/>
      <c r="H76" s="40"/>
      <c r="I76" s="40"/>
      <c r="J76" s="40"/>
      <c r="K76" s="40"/>
      <c r="L76" s="40"/>
      <c r="M76" s="40"/>
    </row>
    <row r="77" ht="12.75" customHeight="1">
      <c r="E77" s="40"/>
      <c r="F77" s="40"/>
      <c r="G77" s="40"/>
      <c r="H77" s="40"/>
      <c r="I77" s="40"/>
      <c r="J77" s="40"/>
      <c r="K77" s="40"/>
      <c r="L77" s="40"/>
      <c r="M77" s="40"/>
    </row>
    <row r="78" ht="12.75" customHeight="1">
      <c r="E78" s="40"/>
      <c r="F78" s="40"/>
      <c r="G78" s="40"/>
      <c r="H78" s="40"/>
      <c r="I78" s="40"/>
      <c r="J78" s="40"/>
      <c r="K78" s="40"/>
      <c r="L78" s="40"/>
      <c r="M78" s="40"/>
    </row>
    <row r="79" ht="12.75" customHeight="1">
      <c r="E79" s="40"/>
      <c r="F79" s="40"/>
      <c r="G79" s="40"/>
      <c r="H79" s="40"/>
      <c r="I79" s="40"/>
      <c r="J79" s="40"/>
      <c r="K79" s="40"/>
      <c r="L79" s="40"/>
      <c r="M79" s="40"/>
    </row>
    <row r="80" ht="12.75" customHeight="1">
      <c r="E80" s="40"/>
      <c r="F80" s="40"/>
      <c r="G80" s="40"/>
      <c r="H80" s="40"/>
      <c r="I80" s="40"/>
      <c r="J80" s="40"/>
      <c r="K80" s="40"/>
      <c r="L80" s="40"/>
      <c r="M80" s="40"/>
    </row>
    <row r="81" ht="12.75" customHeight="1">
      <c r="E81" s="40"/>
      <c r="F81" s="40"/>
      <c r="G81" s="40"/>
      <c r="H81" s="40"/>
      <c r="I81" s="40"/>
      <c r="J81" s="40"/>
      <c r="K81" s="40"/>
      <c r="L81" s="40"/>
      <c r="M81" s="40"/>
    </row>
    <row r="82" ht="12.75" customHeight="1">
      <c r="E82" s="40"/>
      <c r="F82" s="40"/>
      <c r="G82" s="40"/>
      <c r="H82" s="40"/>
      <c r="I82" s="40"/>
      <c r="J82" s="40"/>
      <c r="K82" s="40"/>
      <c r="L82" s="40"/>
      <c r="M82" s="40"/>
    </row>
    <row r="83" ht="12.75" customHeight="1">
      <c r="E83" s="40"/>
      <c r="F83" s="40"/>
      <c r="G83" s="40"/>
      <c r="H83" s="40"/>
      <c r="I83" s="40"/>
      <c r="J83" s="40"/>
      <c r="K83" s="40"/>
      <c r="L83" s="40"/>
      <c r="M83" s="40"/>
    </row>
    <row r="84" ht="12.75" customHeight="1">
      <c r="E84" s="40"/>
      <c r="F84" s="40"/>
      <c r="G84" s="40"/>
      <c r="H84" s="40"/>
      <c r="I84" s="40"/>
      <c r="J84" s="40"/>
      <c r="K84" s="40"/>
      <c r="L84" s="40"/>
      <c r="M84" s="40"/>
    </row>
    <row r="85" ht="12.75" customHeight="1">
      <c r="E85" s="40"/>
      <c r="F85" s="40"/>
      <c r="G85" s="40"/>
      <c r="H85" s="40"/>
      <c r="I85" s="40"/>
      <c r="J85" s="40"/>
      <c r="K85" s="40"/>
      <c r="L85" s="40"/>
      <c r="M85" s="40"/>
    </row>
    <row r="86" ht="12.75" customHeight="1">
      <c r="E86" s="40"/>
      <c r="F86" s="40"/>
      <c r="G86" s="40"/>
      <c r="H86" s="40"/>
      <c r="I86" s="40"/>
      <c r="J86" s="40"/>
      <c r="K86" s="40"/>
      <c r="L86" s="40"/>
      <c r="M86" s="40"/>
    </row>
    <row r="87" ht="12.75" customHeight="1">
      <c r="E87" s="40"/>
      <c r="F87" s="40"/>
      <c r="G87" s="40"/>
      <c r="H87" s="40"/>
      <c r="I87" s="40"/>
      <c r="J87" s="40"/>
      <c r="K87" s="40"/>
      <c r="L87" s="40"/>
      <c r="M87" s="40"/>
    </row>
    <row r="88" ht="12.75" customHeight="1">
      <c r="E88" s="40"/>
      <c r="F88" s="40"/>
      <c r="G88" s="40"/>
      <c r="H88" s="40"/>
      <c r="I88" s="40"/>
      <c r="J88" s="40"/>
      <c r="K88" s="40"/>
      <c r="L88" s="40"/>
      <c r="M88" s="40"/>
    </row>
    <row r="89" ht="12.75" customHeight="1">
      <c r="E89" s="40"/>
      <c r="F89" s="40"/>
      <c r="G89" s="40"/>
      <c r="H89" s="40"/>
      <c r="I89" s="40"/>
      <c r="J89" s="40"/>
      <c r="K89" s="40"/>
      <c r="L89" s="40"/>
      <c r="M89" s="40"/>
    </row>
    <row r="90" ht="12.75" customHeight="1">
      <c r="E90" s="40"/>
      <c r="F90" s="40"/>
      <c r="G90" s="40"/>
      <c r="H90" s="40"/>
      <c r="I90" s="40"/>
      <c r="J90" s="40"/>
      <c r="K90" s="40"/>
      <c r="L90" s="40"/>
      <c r="M90" s="40"/>
    </row>
    <row r="91" ht="12.75" customHeight="1">
      <c r="E91" s="40"/>
      <c r="F91" s="40"/>
      <c r="G91" s="40"/>
      <c r="H91" s="40"/>
      <c r="I91" s="40"/>
      <c r="J91" s="40"/>
      <c r="K91" s="40"/>
      <c r="L91" s="40"/>
      <c r="M91" s="40"/>
    </row>
    <row r="92" ht="12.75" customHeight="1">
      <c r="E92" s="40"/>
      <c r="F92" s="40"/>
      <c r="G92" s="40"/>
      <c r="H92" s="40"/>
      <c r="I92" s="40"/>
      <c r="J92" s="40"/>
      <c r="K92" s="40"/>
      <c r="L92" s="40"/>
      <c r="M92" s="40"/>
    </row>
    <row r="93" ht="12.75" customHeight="1">
      <c r="E93" s="40"/>
      <c r="F93" s="40"/>
      <c r="G93" s="40"/>
      <c r="H93" s="40"/>
      <c r="I93" s="40"/>
      <c r="J93" s="40"/>
      <c r="K93" s="40"/>
      <c r="L93" s="40"/>
      <c r="M93" s="40"/>
    </row>
    <row r="94" ht="12.75" customHeight="1">
      <c r="E94" s="40"/>
      <c r="F94" s="40"/>
      <c r="G94" s="40"/>
      <c r="H94" s="40"/>
      <c r="I94" s="40"/>
      <c r="J94" s="40"/>
      <c r="K94" s="40"/>
      <c r="L94" s="40"/>
      <c r="M94" s="40"/>
    </row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</sheetData>
  <printOptions/>
  <pageMargins bottom="1.0" footer="0.0" header="0.0" left="0.75" right="0.75" top="1.0"/>
  <pageSetup paperSize="9"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5.38"/>
    <col customWidth="1" min="2" max="2" width="42.63"/>
    <col customWidth="1" hidden="1" min="3" max="3" width="14.13"/>
    <col customWidth="1" hidden="1" min="4" max="4" width="12.13"/>
    <col customWidth="1" hidden="1" min="5" max="5" width="14.13"/>
    <col customWidth="1" hidden="1" min="6" max="7" width="10.63"/>
    <col customWidth="1" hidden="1" min="8" max="8" width="9.88"/>
    <col customWidth="1" hidden="1" min="9" max="9" width="11.88"/>
    <col customWidth="1" hidden="1" min="10" max="10" width="14.0"/>
    <col customWidth="1" hidden="1" min="11" max="11" width="8.13"/>
    <col customWidth="1" min="12" max="12" width="16.13"/>
    <col customWidth="1" min="13" max="13" width="13.63"/>
    <col customWidth="1" hidden="1" min="14" max="14" width="6.88"/>
    <col customWidth="1" min="15" max="15" width="25.38"/>
    <col customWidth="1" min="16" max="26" width="9.13"/>
  </cols>
  <sheetData>
    <row r="1" ht="12.75" customHeight="1">
      <c r="A1" s="18" t="s">
        <v>127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 ht="12.75" customHeight="1">
      <c r="A2" s="19" t="s">
        <v>28</v>
      </c>
      <c r="B2" s="19"/>
      <c r="C2" s="19"/>
      <c r="D2" s="19"/>
      <c r="E2" s="19"/>
      <c r="F2" s="20"/>
      <c r="K2" s="19"/>
      <c r="L2" s="19"/>
    </row>
    <row r="3" ht="12.75" customHeight="1">
      <c r="A3" s="19" t="s">
        <v>29</v>
      </c>
      <c r="B3" s="19"/>
      <c r="K3" s="19"/>
      <c r="L3" s="19"/>
    </row>
    <row r="4" ht="12.75" customHeight="1">
      <c r="A4" s="21" t="s">
        <v>30</v>
      </c>
      <c r="B4" s="21" t="s">
        <v>3</v>
      </c>
      <c r="C4" s="21" t="s">
        <v>4</v>
      </c>
      <c r="D4" s="21" t="s">
        <v>5</v>
      </c>
      <c r="E4" s="22">
        <v>1.0</v>
      </c>
      <c r="F4" s="22">
        <v>2.0</v>
      </c>
      <c r="G4" s="22">
        <v>3.0</v>
      </c>
      <c r="H4" s="22">
        <v>4.0</v>
      </c>
      <c r="I4" s="22">
        <v>5.0</v>
      </c>
      <c r="J4" s="22" t="s">
        <v>31</v>
      </c>
      <c r="K4" s="23" t="s">
        <v>32</v>
      </c>
      <c r="L4" s="22" t="s">
        <v>33</v>
      </c>
      <c r="M4" s="22" t="s">
        <v>34</v>
      </c>
      <c r="N4" s="18" t="s">
        <v>32</v>
      </c>
      <c r="O4" s="24" t="s">
        <v>35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 ht="12.75" customHeight="1">
      <c r="A5" s="80">
        <v>1.0</v>
      </c>
      <c r="B5" s="27" t="s">
        <v>38</v>
      </c>
      <c r="C5" s="33"/>
      <c r="D5" s="33"/>
      <c r="E5" s="29">
        <v>12.57</v>
      </c>
      <c r="F5" s="29">
        <v>9.7</v>
      </c>
      <c r="G5" s="29">
        <v>9.29</v>
      </c>
      <c r="H5" s="29">
        <v>8.78</v>
      </c>
      <c r="I5" s="29">
        <v>10.21</v>
      </c>
      <c r="J5" s="30">
        <f t="shared" ref="J5:J12" si="1">IF(MIN(E5:I5)&gt;0,MIN(E5:I5),IF(COUNTBLANK(E5:I5)=5,"","DNF"))</f>
        <v>8.78</v>
      </c>
      <c r="K5" s="30"/>
      <c r="L5" s="30">
        <f t="shared" ref="L5:L43" si="2">IF(COUNTBLANK(E5:I5)&gt;0,"",IF(COUNTIF(E5:I5,"DNF")+COUNTIF(E5:I5,"DNS")&gt;0,"DNF",MAX(E5:I5)))</f>
        <v>12.57</v>
      </c>
      <c r="M5" s="30">
        <f t="shared" ref="M5:M27" si="3">IF(COUNTBLANK(E5:I5)&gt;0,"",IF(COUNTIF(E5:I5,"DNF")+COUNTIF(E5:I5,"DNS")&gt;1,"DNF",ROUND(IF(COUNTIF(E5:I5,"DNF")+COUNTIF(E5:I5,"DNS")&gt;0,(SUM(E5:I5)-J5)/3,(SUM(E5:I5)-J5-L5)/3),2)))</f>
        <v>9.73</v>
      </c>
      <c r="N5" s="25"/>
      <c r="O5" s="31">
        <f t="shared" ref="O5:O43" si="4">M5/86400</f>
        <v>0.0001126157407</v>
      </c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</row>
    <row r="6" ht="12.75" customHeight="1">
      <c r="A6" s="80">
        <v>2.0</v>
      </c>
      <c r="B6" s="27" t="s">
        <v>37</v>
      </c>
      <c r="C6" s="28"/>
      <c r="D6" s="28"/>
      <c r="E6" s="29">
        <v>10.13</v>
      </c>
      <c r="F6" s="29">
        <v>10.28</v>
      </c>
      <c r="G6" s="29">
        <v>9.79</v>
      </c>
      <c r="H6" s="29">
        <v>9.38</v>
      </c>
      <c r="I6" s="29">
        <v>10.52</v>
      </c>
      <c r="J6" s="30">
        <f t="shared" si="1"/>
        <v>9.38</v>
      </c>
      <c r="K6" s="30"/>
      <c r="L6" s="30">
        <f t="shared" si="2"/>
        <v>10.52</v>
      </c>
      <c r="M6" s="30">
        <f t="shared" si="3"/>
        <v>10.07</v>
      </c>
      <c r="N6" s="25"/>
      <c r="O6" s="31">
        <f t="shared" si="4"/>
        <v>0.0001165509259</v>
      </c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</row>
    <row r="7" ht="12.75" customHeight="1">
      <c r="A7" s="80">
        <v>3.0</v>
      </c>
      <c r="B7" s="27" t="s">
        <v>36</v>
      </c>
      <c r="C7" s="28"/>
      <c r="D7" s="28"/>
      <c r="E7" s="29">
        <v>10.37</v>
      </c>
      <c r="F7" s="29">
        <v>10.31</v>
      </c>
      <c r="G7" s="29">
        <v>10.54</v>
      </c>
      <c r="H7" s="29">
        <v>10.16</v>
      </c>
      <c r="I7" s="29">
        <v>10.93</v>
      </c>
      <c r="J7" s="30">
        <f t="shared" si="1"/>
        <v>10.16</v>
      </c>
      <c r="K7" s="30"/>
      <c r="L7" s="30">
        <f t="shared" si="2"/>
        <v>10.93</v>
      </c>
      <c r="M7" s="30">
        <f t="shared" si="3"/>
        <v>10.41</v>
      </c>
      <c r="N7" s="25"/>
      <c r="O7" s="31">
        <f t="shared" si="4"/>
        <v>0.0001204861111</v>
      </c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</row>
    <row r="8" ht="12.75" customHeight="1">
      <c r="A8" s="80">
        <v>4.0</v>
      </c>
      <c r="B8" s="27"/>
      <c r="C8" s="28"/>
      <c r="D8" s="28"/>
      <c r="E8" s="29"/>
      <c r="F8" s="29"/>
      <c r="G8" s="29"/>
      <c r="H8" s="29"/>
      <c r="I8" s="29"/>
      <c r="J8" s="30" t="str">
        <f t="shared" si="1"/>
        <v/>
      </c>
      <c r="K8" s="30"/>
      <c r="L8" s="30" t="str">
        <f t="shared" si="2"/>
        <v/>
      </c>
      <c r="M8" s="30" t="str">
        <f t="shared" si="3"/>
        <v/>
      </c>
      <c r="N8" s="25"/>
      <c r="O8" s="31">
        <f t="shared" si="4"/>
        <v>0</v>
      </c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</row>
    <row r="9" ht="12.75" customHeight="1">
      <c r="A9" s="80">
        <v>5.0</v>
      </c>
      <c r="B9" s="27"/>
      <c r="C9" s="41"/>
      <c r="D9" s="41"/>
      <c r="E9" s="81"/>
      <c r="F9" s="29"/>
      <c r="G9" s="29"/>
      <c r="H9" s="29"/>
      <c r="I9" s="29"/>
      <c r="J9" s="30" t="str">
        <f t="shared" si="1"/>
        <v/>
      </c>
      <c r="K9" s="30"/>
      <c r="L9" s="30" t="str">
        <f t="shared" si="2"/>
        <v/>
      </c>
      <c r="M9" s="30" t="str">
        <f t="shared" si="3"/>
        <v/>
      </c>
      <c r="N9" s="25"/>
      <c r="O9" s="31">
        <f t="shared" si="4"/>
        <v>0</v>
      </c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 ht="12.75" customHeight="1">
      <c r="A10" s="80">
        <v>6.0</v>
      </c>
      <c r="B10" s="27"/>
      <c r="C10" s="33"/>
      <c r="D10" s="33"/>
      <c r="E10" s="29"/>
      <c r="F10" s="29"/>
      <c r="G10" s="29"/>
      <c r="H10" s="29"/>
      <c r="I10" s="29"/>
      <c r="J10" s="30" t="str">
        <f t="shared" si="1"/>
        <v/>
      </c>
      <c r="K10" s="30"/>
      <c r="L10" s="30" t="str">
        <f t="shared" si="2"/>
        <v/>
      </c>
      <c r="M10" s="30" t="str">
        <f t="shared" si="3"/>
        <v/>
      </c>
      <c r="N10" s="25"/>
      <c r="O10" s="31">
        <f t="shared" si="4"/>
        <v>0</v>
      </c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 ht="12.75" customHeight="1">
      <c r="A11" s="80">
        <v>7.0</v>
      </c>
      <c r="B11" s="27"/>
      <c r="C11" s="33"/>
      <c r="D11" s="33"/>
      <c r="E11" s="29"/>
      <c r="F11" s="29"/>
      <c r="G11" s="29"/>
      <c r="H11" s="29"/>
      <c r="I11" s="29"/>
      <c r="J11" s="30" t="str">
        <f t="shared" si="1"/>
        <v/>
      </c>
      <c r="K11" s="30"/>
      <c r="L11" s="30" t="str">
        <f t="shared" si="2"/>
        <v/>
      </c>
      <c r="M11" s="30" t="str">
        <f t="shared" si="3"/>
        <v/>
      </c>
      <c r="N11" s="25"/>
      <c r="O11" s="31">
        <f t="shared" si="4"/>
        <v>0</v>
      </c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 ht="12.75" customHeight="1">
      <c r="A12" s="80">
        <v>8.0</v>
      </c>
      <c r="B12" s="36"/>
      <c r="C12" s="28"/>
      <c r="D12" s="28"/>
      <c r="E12" s="30"/>
      <c r="F12" s="30"/>
      <c r="G12" s="30"/>
      <c r="H12" s="30"/>
      <c r="I12" s="30"/>
      <c r="J12" s="30" t="str">
        <f t="shared" si="1"/>
        <v/>
      </c>
      <c r="K12" s="30"/>
      <c r="L12" s="30" t="str">
        <f t="shared" si="2"/>
        <v/>
      </c>
      <c r="M12" s="30" t="str">
        <f t="shared" si="3"/>
        <v/>
      </c>
      <c r="N12" s="25"/>
      <c r="O12" s="31">
        <f t="shared" si="4"/>
        <v>0</v>
      </c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 ht="12.75" customHeight="1">
      <c r="A13" s="80">
        <v>9.0</v>
      </c>
      <c r="B13" s="36"/>
      <c r="C13" s="28"/>
      <c r="D13" s="28"/>
      <c r="E13" s="29" t="s">
        <v>150</v>
      </c>
      <c r="F13" s="30"/>
      <c r="G13" s="30"/>
      <c r="H13" s="30"/>
      <c r="I13" s="30"/>
      <c r="J13" s="30"/>
      <c r="K13" s="30"/>
      <c r="L13" s="30" t="str">
        <f t="shared" si="2"/>
        <v/>
      </c>
      <c r="M13" s="30" t="str">
        <f t="shared" si="3"/>
        <v/>
      </c>
      <c r="N13" s="25"/>
      <c r="O13" s="31">
        <f t="shared" si="4"/>
        <v>0</v>
      </c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 ht="12.75" customHeight="1">
      <c r="A14" s="80">
        <v>10.0</v>
      </c>
      <c r="B14" s="36"/>
      <c r="C14" s="28"/>
      <c r="D14" s="28"/>
      <c r="E14" s="30"/>
      <c r="F14" s="30"/>
      <c r="G14" s="30"/>
      <c r="H14" s="30"/>
      <c r="I14" s="30"/>
      <c r="J14" s="30" t="str">
        <f t="shared" ref="J14:J26" si="5">IF(MIN(E14:I14)&gt;0,MIN(E14:I14),IF(COUNTBLANK(E14:I14)=5,"","DNF"))</f>
        <v/>
      </c>
      <c r="K14" s="30"/>
      <c r="L14" s="30" t="str">
        <f t="shared" si="2"/>
        <v/>
      </c>
      <c r="M14" s="30" t="str">
        <f t="shared" si="3"/>
        <v/>
      </c>
      <c r="N14" s="25"/>
      <c r="O14" s="31">
        <f t="shared" si="4"/>
        <v>0</v>
      </c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ht="12.75" customHeight="1">
      <c r="A15" s="80">
        <v>11.0</v>
      </c>
      <c r="B15" s="36"/>
      <c r="C15" s="28"/>
      <c r="D15" s="28"/>
      <c r="E15" s="30"/>
      <c r="F15" s="30"/>
      <c r="G15" s="30"/>
      <c r="H15" s="30"/>
      <c r="I15" s="30"/>
      <c r="J15" s="30" t="str">
        <f t="shared" si="5"/>
        <v/>
      </c>
      <c r="K15" s="30"/>
      <c r="L15" s="30" t="str">
        <f t="shared" si="2"/>
        <v/>
      </c>
      <c r="M15" s="30" t="str">
        <f t="shared" si="3"/>
        <v/>
      </c>
      <c r="N15" s="25"/>
      <c r="O15" s="31">
        <f t="shared" si="4"/>
        <v>0</v>
      </c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ht="12.75" customHeight="1">
      <c r="A16" s="80">
        <v>12.0</v>
      </c>
      <c r="B16" s="36"/>
      <c r="C16" s="28"/>
      <c r="D16" s="28"/>
      <c r="E16" s="30"/>
      <c r="F16" s="30"/>
      <c r="G16" s="30"/>
      <c r="H16" s="30"/>
      <c r="I16" s="30"/>
      <c r="J16" s="30" t="str">
        <f t="shared" si="5"/>
        <v/>
      </c>
      <c r="K16" s="30"/>
      <c r="L16" s="30" t="str">
        <f t="shared" si="2"/>
        <v/>
      </c>
      <c r="M16" s="30" t="str">
        <f t="shared" si="3"/>
        <v/>
      </c>
      <c r="N16" s="25"/>
      <c r="O16" s="31">
        <f t="shared" si="4"/>
        <v>0</v>
      </c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 ht="12.75" customHeight="1">
      <c r="A17" s="55">
        <v>14.0</v>
      </c>
      <c r="B17" s="36"/>
      <c r="C17" s="28"/>
      <c r="D17" s="28"/>
      <c r="E17" s="30"/>
      <c r="F17" s="30"/>
      <c r="G17" s="30"/>
      <c r="H17" s="30"/>
      <c r="I17" s="30"/>
      <c r="J17" s="30" t="str">
        <f t="shared" si="5"/>
        <v/>
      </c>
      <c r="K17" s="30"/>
      <c r="L17" s="30" t="str">
        <f t="shared" si="2"/>
        <v/>
      </c>
      <c r="M17" s="30" t="str">
        <f t="shared" si="3"/>
        <v/>
      </c>
      <c r="N17" s="25"/>
      <c r="O17" s="31">
        <f t="shared" si="4"/>
        <v>0</v>
      </c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 ht="12.75" customHeight="1">
      <c r="A18" s="55">
        <v>15.0</v>
      </c>
      <c r="B18" s="36"/>
      <c r="C18" s="28"/>
      <c r="D18" s="28"/>
      <c r="E18" s="30"/>
      <c r="F18" s="30"/>
      <c r="G18" s="30"/>
      <c r="H18" s="30"/>
      <c r="I18" s="30"/>
      <c r="J18" s="30" t="str">
        <f t="shared" si="5"/>
        <v/>
      </c>
      <c r="K18" s="30"/>
      <c r="L18" s="30" t="str">
        <f t="shared" si="2"/>
        <v/>
      </c>
      <c r="M18" s="30" t="str">
        <f t="shared" si="3"/>
        <v/>
      </c>
      <c r="N18" s="25"/>
      <c r="O18" s="31">
        <f t="shared" si="4"/>
        <v>0</v>
      </c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 ht="12.75" customHeight="1">
      <c r="A19" s="55">
        <v>16.0</v>
      </c>
      <c r="B19" s="36"/>
      <c r="C19" s="28"/>
      <c r="D19" s="28"/>
      <c r="E19" s="30"/>
      <c r="F19" s="30"/>
      <c r="G19" s="30"/>
      <c r="H19" s="30"/>
      <c r="I19" s="30"/>
      <c r="J19" s="30" t="str">
        <f t="shared" si="5"/>
        <v/>
      </c>
      <c r="K19" s="30"/>
      <c r="L19" s="30" t="str">
        <f t="shared" si="2"/>
        <v/>
      </c>
      <c r="M19" s="30" t="str">
        <f t="shared" si="3"/>
        <v/>
      </c>
      <c r="N19" s="25"/>
      <c r="O19" s="31">
        <f t="shared" si="4"/>
        <v>0</v>
      </c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 ht="12.75" customHeight="1">
      <c r="A20" s="55">
        <v>17.0</v>
      </c>
      <c r="B20" s="36"/>
      <c r="C20" s="28"/>
      <c r="D20" s="28"/>
      <c r="E20" s="30"/>
      <c r="F20" s="30"/>
      <c r="G20" s="30"/>
      <c r="H20" s="30"/>
      <c r="I20" s="30"/>
      <c r="J20" s="30" t="str">
        <f t="shared" si="5"/>
        <v/>
      </c>
      <c r="K20" s="30"/>
      <c r="L20" s="30" t="str">
        <f t="shared" si="2"/>
        <v/>
      </c>
      <c r="M20" s="30" t="str">
        <f t="shared" si="3"/>
        <v/>
      </c>
      <c r="N20" s="25"/>
      <c r="O20" s="31">
        <f t="shared" si="4"/>
        <v>0</v>
      </c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 ht="12.75" customHeight="1">
      <c r="A21" s="55">
        <v>18.0</v>
      </c>
      <c r="B21" s="36"/>
      <c r="C21" s="33"/>
      <c r="D21" s="33"/>
      <c r="E21" s="35"/>
      <c r="F21" s="35"/>
      <c r="G21" s="35"/>
      <c r="H21" s="35"/>
      <c r="I21" s="35"/>
      <c r="J21" s="35" t="str">
        <f t="shared" si="5"/>
        <v/>
      </c>
      <c r="K21" s="35"/>
      <c r="L21" s="35" t="str">
        <f t="shared" si="2"/>
        <v/>
      </c>
      <c r="M21" s="35" t="str">
        <f t="shared" si="3"/>
        <v/>
      </c>
      <c r="N21" s="25"/>
      <c r="O21" s="31">
        <f t="shared" si="4"/>
        <v>0</v>
      </c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 ht="12.75" customHeight="1">
      <c r="A22" s="55">
        <v>19.0</v>
      </c>
      <c r="B22" s="36"/>
      <c r="C22" s="28"/>
      <c r="D22" s="28"/>
      <c r="E22" s="30"/>
      <c r="F22" s="30"/>
      <c r="G22" s="30"/>
      <c r="H22" s="30"/>
      <c r="I22" s="30"/>
      <c r="J22" s="30" t="str">
        <f t="shared" si="5"/>
        <v/>
      </c>
      <c r="K22" s="30"/>
      <c r="L22" s="30" t="str">
        <f t="shared" si="2"/>
        <v/>
      </c>
      <c r="M22" s="30" t="str">
        <f t="shared" si="3"/>
        <v/>
      </c>
      <c r="N22" s="25"/>
      <c r="O22" s="31">
        <f t="shared" si="4"/>
        <v>0</v>
      </c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 ht="12.75" customHeight="1">
      <c r="A23" s="55">
        <v>20.0</v>
      </c>
      <c r="B23" s="36"/>
      <c r="C23" s="28"/>
      <c r="D23" s="28"/>
      <c r="E23" s="30"/>
      <c r="F23" s="30"/>
      <c r="G23" s="30"/>
      <c r="H23" s="30"/>
      <c r="I23" s="30"/>
      <c r="J23" s="30" t="str">
        <f t="shared" si="5"/>
        <v/>
      </c>
      <c r="K23" s="30"/>
      <c r="L23" s="30" t="str">
        <f t="shared" si="2"/>
        <v/>
      </c>
      <c r="M23" s="30" t="str">
        <f t="shared" si="3"/>
        <v/>
      </c>
      <c r="N23" s="25"/>
      <c r="O23" s="31">
        <f t="shared" si="4"/>
        <v>0</v>
      </c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 ht="12.75" customHeight="1">
      <c r="A24" s="55">
        <v>21.0</v>
      </c>
      <c r="B24" s="36"/>
      <c r="C24" s="28"/>
      <c r="D24" s="28"/>
      <c r="E24" s="30"/>
      <c r="F24" s="30"/>
      <c r="G24" s="30"/>
      <c r="H24" s="30"/>
      <c r="I24" s="30"/>
      <c r="J24" s="30" t="str">
        <f t="shared" si="5"/>
        <v/>
      </c>
      <c r="K24" s="30"/>
      <c r="L24" s="30" t="str">
        <f t="shared" si="2"/>
        <v/>
      </c>
      <c r="M24" s="30" t="str">
        <f t="shared" si="3"/>
        <v/>
      </c>
      <c r="N24" s="25"/>
      <c r="O24" s="31">
        <f t="shared" si="4"/>
        <v>0</v>
      </c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 ht="12.75" customHeight="1">
      <c r="A25" s="55">
        <v>22.0</v>
      </c>
      <c r="B25" s="36"/>
      <c r="C25" s="28"/>
      <c r="D25" s="28"/>
      <c r="E25" s="30"/>
      <c r="F25" s="30"/>
      <c r="G25" s="30"/>
      <c r="H25" s="30"/>
      <c r="I25" s="30"/>
      <c r="J25" s="30" t="str">
        <f t="shared" si="5"/>
        <v/>
      </c>
      <c r="K25" s="30"/>
      <c r="L25" s="30" t="str">
        <f t="shared" si="2"/>
        <v/>
      </c>
      <c r="M25" s="30" t="str">
        <f t="shared" si="3"/>
        <v/>
      </c>
      <c r="N25" s="25"/>
      <c r="O25" s="31">
        <f t="shared" si="4"/>
        <v>0</v>
      </c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 ht="12.75" customHeight="1">
      <c r="A26" s="55">
        <v>23.0</v>
      </c>
      <c r="B26" s="36"/>
      <c r="C26" s="28"/>
      <c r="D26" s="28"/>
      <c r="E26" s="30"/>
      <c r="F26" s="30"/>
      <c r="G26" s="30"/>
      <c r="H26" s="30"/>
      <c r="I26" s="30"/>
      <c r="J26" s="30" t="str">
        <f t="shared" si="5"/>
        <v/>
      </c>
      <c r="K26" s="30"/>
      <c r="L26" s="30" t="str">
        <f t="shared" si="2"/>
        <v/>
      </c>
      <c r="M26" s="30" t="str">
        <f t="shared" si="3"/>
        <v/>
      </c>
      <c r="N26" s="25"/>
      <c r="O26" s="31">
        <f t="shared" si="4"/>
        <v>0</v>
      </c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 ht="12.75" customHeight="1">
      <c r="A27" s="55">
        <v>24.0</v>
      </c>
      <c r="B27" s="36"/>
      <c r="C27" s="28"/>
      <c r="D27" s="28"/>
      <c r="E27" s="30"/>
      <c r="F27" s="30"/>
      <c r="G27" s="30"/>
      <c r="H27" s="30"/>
      <c r="I27" s="30"/>
      <c r="J27" s="30">
        <v>54.39</v>
      </c>
      <c r="K27" s="30"/>
      <c r="L27" s="30" t="str">
        <f t="shared" si="2"/>
        <v/>
      </c>
      <c r="M27" s="30" t="str">
        <f t="shared" si="3"/>
        <v/>
      </c>
      <c r="N27" s="25"/>
      <c r="O27" s="31">
        <f t="shared" si="4"/>
        <v>0</v>
      </c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 ht="12.75" customHeight="1">
      <c r="A28" s="55">
        <v>25.0</v>
      </c>
      <c r="B28" s="36"/>
      <c r="C28" s="28"/>
      <c r="D28" s="28"/>
      <c r="E28" s="30"/>
      <c r="F28" s="30"/>
      <c r="G28" s="30"/>
      <c r="H28" s="30"/>
      <c r="I28" s="30"/>
      <c r="J28" s="30" t="str">
        <f t="shared" ref="J28:J43" si="6">IF(MIN(E28:I28)&gt;0,MIN(E28:I28),IF(COUNTBLANK(E28:I28)=5,"","DNF"))</f>
        <v/>
      </c>
      <c r="K28" s="30"/>
      <c r="L28" s="30" t="str">
        <f t="shared" si="2"/>
        <v/>
      </c>
      <c r="M28" s="30" t="str">
        <f>IF(COUNTBLANK(E28:I28)&gt;0,"",IF(COUNTIF(E28:I28,"DNF")+COUNTIF(E28:I28,"DNS")&gt;1,"DNF",IF(COUNTIF(E28:I28,"DNF")+COUNTIF(E28:I28,"DNS")&gt;0,(SUM(E28:I28)-J28)/3,(SUM(E28:I28)-J28-L28)/3)))</f>
        <v/>
      </c>
      <c r="N28" s="25"/>
      <c r="O28" s="31">
        <f t="shared" si="4"/>
        <v>0</v>
      </c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ht="12.75" customHeight="1">
      <c r="A29" s="55">
        <v>26.0</v>
      </c>
      <c r="B29" s="36"/>
      <c r="C29" s="28"/>
      <c r="D29" s="28"/>
      <c r="E29" s="30"/>
      <c r="F29" s="30"/>
      <c r="G29" s="30"/>
      <c r="H29" s="30"/>
      <c r="I29" s="30"/>
      <c r="J29" s="30" t="str">
        <f t="shared" si="6"/>
        <v/>
      </c>
      <c r="K29" s="30"/>
      <c r="L29" s="30" t="str">
        <f t="shared" si="2"/>
        <v/>
      </c>
      <c r="M29" s="30" t="str">
        <f t="shared" ref="M29:M41" si="7">IF(COUNTBLANK(E29:I29)&gt;0,"",IF(COUNTIF(E29:I29,"DNF")+COUNTIF(E29:I29,"DNS")&gt;1,"DNF",ROUND(IF(COUNTIF(E29:I29,"DNF")+COUNTIF(E29:I29,"DNS")&gt;0,(SUM(E29:I29)-J29)/3,(SUM(E29:I29)-J29-L29)/3),2)))</f>
        <v/>
      </c>
      <c r="N29" s="25"/>
      <c r="O29" s="31">
        <f t="shared" si="4"/>
        <v>0</v>
      </c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 ht="12.75" customHeight="1">
      <c r="A30" s="55">
        <v>27.0</v>
      </c>
      <c r="B30" s="36"/>
      <c r="C30" s="28"/>
      <c r="D30" s="28"/>
      <c r="E30" s="30"/>
      <c r="F30" s="30"/>
      <c r="G30" s="30"/>
      <c r="H30" s="30"/>
      <c r="I30" s="30"/>
      <c r="J30" s="30" t="str">
        <f t="shared" si="6"/>
        <v/>
      </c>
      <c r="K30" s="30"/>
      <c r="L30" s="30" t="str">
        <f t="shared" si="2"/>
        <v/>
      </c>
      <c r="M30" s="30" t="str">
        <f t="shared" si="7"/>
        <v/>
      </c>
      <c r="N30" s="25"/>
      <c r="O30" s="31">
        <f t="shared" si="4"/>
        <v>0</v>
      </c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 ht="12.75" customHeight="1">
      <c r="A31" s="55">
        <v>28.0</v>
      </c>
      <c r="B31" s="36"/>
      <c r="C31" s="28"/>
      <c r="D31" s="28"/>
      <c r="E31" s="30"/>
      <c r="F31" s="30"/>
      <c r="G31" s="30"/>
      <c r="H31" s="30"/>
      <c r="I31" s="30"/>
      <c r="J31" s="30" t="str">
        <f t="shared" si="6"/>
        <v/>
      </c>
      <c r="K31" s="30"/>
      <c r="L31" s="30" t="str">
        <f t="shared" si="2"/>
        <v/>
      </c>
      <c r="M31" s="30" t="str">
        <f t="shared" si="7"/>
        <v/>
      </c>
      <c r="N31" s="25"/>
      <c r="O31" s="31">
        <f t="shared" si="4"/>
        <v>0</v>
      </c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 ht="12.75" customHeight="1">
      <c r="A32" s="55">
        <v>29.0</v>
      </c>
      <c r="B32" s="36"/>
      <c r="C32" s="28"/>
      <c r="D32" s="28"/>
      <c r="E32" s="30"/>
      <c r="F32" s="30"/>
      <c r="G32" s="30"/>
      <c r="H32" s="30"/>
      <c r="I32" s="30"/>
      <c r="J32" s="30" t="str">
        <f t="shared" si="6"/>
        <v/>
      </c>
      <c r="K32" s="30"/>
      <c r="L32" s="30" t="str">
        <f t="shared" si="2"/>
        <v/>
      </c>
      <c r="M32" s="30" t="str">
        <f t="shared" si="7"/>
        <v/>
      </c>
      <c r="N32" s="25"/>
      <c r="O32" s="31">
        <f t="shared" si="4"/>
        <v>0</v>
      </c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 ht="12.75" customHeight="1">
      <c r="A33" s="55">
        <v>30.0</v>
      </c>
      <c r="B33" s="36"/>
      <c r="C33" s="28"/>
      <c r="D33" s="28"/>
      <c r="E33" s="30"/>
      <c r="F33" s="30"/>
      <c r="G33" s="30"/>
      <c r="H33" s="30"/>
      <c r="I33" s="30"/>
      <c r="J33" s="30" t="str">
        <f t="shared" si="6"/>
        <v/>
      </c>
      <c r="K33" s="30"/>
      <c r="L33" s="30" t="str">
        <f t="shared" si="2"/>
        <v/>
      </c>
      <c r="M33" s="30" t="str">
        <f t="shared" si="7"/>
        <v/>
      </c>
      <c r="N33" s="25"/>
      <c r="O33" s="31">
        <f t="shared" si="4"/>
        <v>0</v>
      </c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ht="12.75" customHeight="1">
      <c r="A34" s="55">
        <v>31.0</v>
      </c>
      <c r="B34" s="36"/>
      <c r="C34" s="28"/>
      <c r="D34" s="28"/>
      <c r="E34" s="30"/>
      <c r="F34" s="30"/>
      <c r="G34" s="30"/>
      <c r="H34" s="30"/>
      <c r="I34" s="30"/>
      <c r="J34" s="30" t="str">
        <f t="shared" si="6"/>
        <v/>
      </c>
      <c r="K34" s="30"/>
      <c r="L34" s="30" t="str">
        <f t="shared" si="2"/>
        <v/>
      </c>
      <c r="M34" s="30" t="str">
        <f t="shared" si="7"/>
        <v/>
      </c>
      <c r="N34" s="25"/>
      <c r="O34" s="31">
        <f t="shared" si="4"/>
        <v>0</v>
      </c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 ht="12.75" customHeight="1">
      <c r="A35" s="55">
        <v>32.0</v>
      </c>
      <c r="B35" s="36"/>
      <c r="C35" s="28"/>
      <c r="D35" s="28"/>
      <c r="E35" s="30"/>
      <c r="F35" s="30"/>
      <c r="G35" s="30"/>
      <c r="H35" s="30"/>
      <c r="I35" s="30"/>
      <c r="J35" s="30" t="str">
        <f t="shared" si="6"/>
        <v/>
      </c>
      <c r="K35" s="30"/>
      <c r="L35" s="30" t="str">
        <f t="shared" si="2"/>
        <v/>
      </c>
      <c r="M35" s="30" t="str">
        <f t="shared" si="7"/>
        <v/>
      </c>
      <c r="N35" s="25"/>
      <c r="O35" s="31">
        <f t="shared" si="4"/>
        <v>0</v>
      </c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 ht="12.75" customHeight="1">
      <c r="A36" s="55">
        <v>33.0</v>
      </c>
      <c r="B36" s="36"/>
      <c r="C36" s="28"/>
      <c r="D36" s="28"/>
      <c r="E36" s="30"/>
      <c r="F36" s="30"/>
      <c r="G36" s="30"/>
      <c r="H36" s="30"/>
      <c r="I36" s="30"/>
      <c r="J36" s="30" t="str">
        <f t="shared" si="6"/>
        <v/>
      </c>
      <c r="K36" s="30"/>
      <c r="L36" s="30" t="str">
        <f t="shared" si="2"/>
        <v/>
      </c>
      <c r="M36" s="30" t="str">
        <f t="shared" si="7"/>
        <v/>
      </c>
      <c r="N36" s="25"/>
      <c r="O36" s="31">
        <f t="shared" si="4"/>
        <v>0</v>
      </c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 ht="12.75" customHeight="1">
      <c r="A37" s="55">
        <v>34.0</v>
      </c>
      <c r="B37" s="36"/>
      <c r="C37" s="28"/>
      <c r="D37" s="28"/>
      <c r="E37" s="30"/>
      <c r="F37" s="30"/>
      <c r="G37" s="30"/>
      <c r="H37" s="30"/>
      <c r="I37" s="30"/>
      <c r="J37" s="30" t="str">
        <f t="shared" si="6"/>
        <v/>
      </c>
      <c r="K37" s="30"/>
      <c r="L37" s="30" t="str">
        <f t="shared" si="2"/>
        <v/>
      </c>
      <c r="M37" s="30" t="str">
        <f t="shared" si="7"/>
        <v/>
      </c>
      <c r="N37" s="25"/>
      <c r="O37" s="31">
        <f t="shared" si="4"/>
        <v>0</v>
      </c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ht="12.75" customHeight="1">
      <c r="A38" s="55">
        <v>35.0</v>
      </c>
      <c r="B38" s="36"/>
      <c r="C38" s="28"/>
      <c r="D38" s="28"/>
      <c r="E38" s="30"/>
      <c r="F38" s="30"/>
      <c r="G38" s="30"/>
      <c r="H38" s="30"/>
      <c r="I38" s="30"/>
      <c r="J38" s="30" t="str">
        <f t="shared" si="6"/>
        <v/>
      </c>
      <c r="K38" s="30"/>
      <c r="L38" s="30" t="str">
        <f t="shared" si="2"/>
        <v/>
      </c>
      <c r="M38" s="30" t="str">
        <f t="shared" si="7"/>
        <v/>
      </c>
      <c r="N38" s="25"/>
      <c r="O38" s="31">
        <f t="shared" si="4"/>
        <v>0</v>
      </c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 ht="12.75" customHeight="1">
      <c r="A39" s="55">
        <v>36.0</v>
      </c>
      <c r="B39" s="36"/>
      <c r="C39" s="28"/>
      <c r="D39" s="28"/>
      <c r="E39" s="30"/>
      <c r="F39" s="30"/>
      <c r="G39" s="30"/>
      <c r="H39" s="30"/>
      <c r="I39" s="30"/>
      <c r="J39" s="30" t="str">
        <f t="shared" si="6"/>
        <v/>
      </c>
      <c r="K39" s="30"/>
      <c r="L39" s="30" t="str">
        <f t="shared" si="2"/>
        <v/>
      </c>
      <c r="M39" s="30" t="str">
        <f t="shared" si="7"/>
        <v/>
      </c>
      <c r="N39" s="25"/>
      <c r="O39" s="31">
        <f t="shared" si="4"/>
        <v>0</v>
      </c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 ht="12.75" customHeight="1">
      <c r="A40" s="55">
        <v>37.0</v>
      </c>
      <c r="B40" s="36"/>
      <c r="C40" s="28"/>
      <c r="D40" s="28"/>
      <c r="E40" s="30"/>
      <c r="F40" s="30"/>
      <c r="G40" s="30"/>
      <c r="H40" s="30"/>
      <c r="I40" s="30"/>
      <c r="J40" s="30" t="str">
        <f t="shared" si="6"/>
        <v/>
      </c>
      <c r="K40" s="30"/>
      <c r="L40" s="30" t="str">
        <f t="shared" si="2"/>
        <v/>
      </c>
      <c r="M40" s="30" t="str">
        <f t="shared" si="7"/>
        <v/>
      </c>
      <c r="N40" s="25"/>
      <c r="O40" s="31">
        <f t="shared" si="4"/>
        <v>0</v>
      </c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 ht="12.75" customHeight="1">
      <c r="A41" s="55">
        <f>IF(AND(M40=M41,J40=J41),A40,ROW()-4)</f>
        <v>37</v>
      </c>
      <c r="B41" s="36"/>
      <c r="C41" s="28"/>
      <c r="D41" s="28"/>
      <c r="E41" s="30"/>
      <c r="F41" s="30"/>
      <c r="G41" s="30"/>
      <c r="H41" s="30"/>
      <c r="I41" s="30"/>
      <c r="J41" s="30" t="str">
        <f t="shared" si="6"/>
        <v/>
      </c>
      <c r="K41" s="30"/>
      <c r="L41" s="30" t="str">
        <f t="shared" si="2"/>
        <v/>
      </c>
      <c r="M41" s="30" t="str">
        <f t="shared" si="7"/>
        <v/>
      </c>
      <c r="N41" s="25"/>
      <c r="O41" s="31">
        <f t="shared" si="4"/>
        <v>0</v>
      </c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 ht="12.75" customHeight="1">
      <c r="A42" s="55">
        <v>15.0</v>
      </c>
      <c r="B42" s="36"/>
      <c r="E42" s="44"/>
      <c r="F42" s="44"/>
      <c r="G42" s="44"/>
      <c r="H42" s="44"/>
      <c r="I42" s="44"/>
      <c r="J42" s="44" t="str">
        <f t="shared" si="6"/>
        <v/>
      </c>
      <c r="K42" s="45"/>
      <c r="L42" s="44" t="str">
        <f t="shared" si="2"/>
        <v/>
      </c>
      <c r="M42" s="44" t="str">
        <f>IF(COUNTBLANK(E42:I42)&gt;0,"",IF(COUNTIF(E42:I42,"DNF")+COUNTIF(E42:I42,"DNS")&gt;1,"DNF",IF(COUNTIF(E42:I42,"DNF")+COUNTIF(E42:I42,"DNS")&gt;0,(SUM(E42:I42)-J42)/3,(SUM(E42:I42)-J42-L42)/3)))</f>
        <v/>
      </c>
      <c r="N42" s="25"/>
      <c r="O42" s="31">
        <f t="shared" si="4"/>
        <v>0</v>
      </c>
    </row>
    <row r="43" ht="12.75" customHeight="1">
      <c r="E43" s="35"/>
      <c r="F43" s="35"/>
      <c r="G43" s="35"/>
      <c r="H43" s="35"/>
      <c r="I43" s="35"/>
      <c r="J43" s="35" t="str">
        <f t="shared" si="6"/>
        <v/>
      </c>
      <c r="K43" s="35"/>
      <c r="L43" s="35" t="str">
        <f t="shared" si="2"/>
        <v/>
      </c>
      <c r="M43" s="35" t="str">
        <f>IF(COUNTBLANK(E43:I43)&gt;0,"",IF(COUNTIF(E43:I43,"DNF")+COUNTIF(E43:I43,"DNS")&gt;1,"DNF",ROUND(IF(COUNTIF(E43:I43,"DNF")+COUNTIF(E43:I43,"DNS")&gt;0,(SUM(E43:I43)-J43)/3,(SUM(E43:I43)-J43-L43)/3),2)))</f>
        <v/>
      </c>
      <c r="N43" s="25"/>
      <c r="O43" s="31">
        <f t="shared" si="4"/>
        <v>0</v>
      </c>
    </row>
    <row r="44" ht="12.75" customHeight="1">
      <c r="E44" s="40"/>
      <c r="F44" s="40"/>
      <c r="G44" s="40"/>
      <c r="H44" s="40"/>
      <c r="I44" s="40"/>
      <c r="J44" s="40"/>
      <c r="K44" s="40"/>
      <c r="L44" s="40"/>
      <c r="M44" s="40"/>
    </row>
    <row r="45" ht="12.75" customHeight="1">
      <c r="E45" s="40"/>
      <c r="F45" s="40"/>
      <c r="G45" s="40"/>
      <c r="H45" s="40"/>
      <c r="I45" s="40"/>
      <c r="J45" s="40"/>
      <c r="K45" s="40"/>
      <c r="L45" s="40"/>
      <c r="M45" s="40"/>
    </row>
    <row r="46" ht="12.75" customHeight="1">
      <c r="E46" s="40"/>
      <c r="F46" s="40"/>
      <c r="G46" s="40"/>
      <c r="H46" s="40"/>
      <c r="I46" s="40"/>
      <c r="J46" s="40"/>
      <c r="K46" s="40"/>
      <c r="L46" s="40"/>
      <c r="M46" s="40"/>
    </row>
    <row r="47" ht="12.75" customHeight="1">
      <c r="E47" s="40"/>
      <c r="F47" s="40"/>
      <c r="G47" s="40"/>
      <c r="H47" s="40"/>
      <c r="I47" s="40"/>
      <c r="J47" s="40"/>
      <c r="K47" s="40"/>
      <c r="L47" s="40"/>
      <c r="M47" s="40"/>
    </row>
    <row r="48" ht="12.75" customHeight="1">
      <c r="E48" s="40"/>
      <c r="F48" s="40"/>
      <c r="G48" s="40"/>
      <c r="H48" s="40"/>
      <c r="I48" s="40"/>
      <c r="J48" s="40"/>
      <c r="K48" s="40"/>
      <c r="L48" s="40"/>
      <c r="M48" s="40"/>
    </row>
    <row r="49" ht="12.75" customHeight="1">
      <c r="E49" s="40"/>
      <c r="F49" s="40"/>
      <c r="G49" s="40"/>
      <c r="H49" s="40"/>
      <c r="I49" s="40"/>
      <c r="J49" s="40"/>
      <c r="K49" s="40"/>
      <c r="L49" s="40"/>
      <c r="M49" s="40"/>
    </row>
    <row r="50" ht="12.75" customHeight="1">
      <c r="E50" s="40"/>
      <c r="F50" s="40"/>
      <c r="G50" s="40"/>
      <c r="H50" s="40"/>
      <c r="I50" s="40"/>
      <c r="J50" s="40"/>
      <c r="K50" s="40"/>
      <c r="L50" s="40"/>
      <c r="M50" s="40"/>
    </row>
    <row r="51" ht="12.75" customHeight="1">
      <c r="E51" s="40"/>
      <c r="F51" s="40"/>
      <c r="G51" s="40"/>
      <c r="H51" s="40"/>
      <c r="I51" s="40"/>
      <c r="J51" s="40"/>
      <c r="K51" s="40"/>
      <c r="L51" s="40"/>
      <c r="M51" s="40"/>
    </row>
    <row r="52" ht="12.75" customHeight="1">
      <c r="E52" s="40"/>
      <c r="F52" s="40"/>
      <c r="G52" s="40"/>
      <c r="H52" s="40"/>
      <c r="I52" s="40"/>
      <c r="J52" s="40"/>
      <c r="K52" s="40"/>
      <c r="L52" s="40"/>
      <c r="M52" s="40"/>
    </row>
    <row r="53" ht="12.75" customHeight="1">
      <c r="E53" s="40"/>
      <c r="F53" s="40"/>
      <c r="G53" s="40"/>
      <c r="H53" s="40"/>
      <c r="I53" s="40"/>
      <c r="J53" s="40"/>
      <c r="K53" s="40"/>
      <c r="L53" s="40"/>
      <c r="M53" s="40"/>
    </row>
    <row r="54" ht="12.75" customHeight="1">
      <c r="E54" s="40"/>
      <c r="F54" s="40"/>
      <c r="G54" s="40"/>
      <c r="H54" s="40"/>
      <c r="I54" s="40"/>
      <c r="J54" s="40"/>
      <c r="K54" s="40"/>
      <c r="L54" s="40"/>
      <c r="M54" s="40"/>
    </row>
    <row r="55" ht="12.75" customHeight="1">
      <c r="E55" s="40"/>
      <c r="F55" s="40"/>
      <c r="G55" s="40"/>
      <c r="H55" s="40"/>
      <c r="I55" s="40"/>
      <c r="J55" s="40"/>
      <c r="K55" s="40"/>
      <c r="L55" s="40"/>
      <c r="M55" s="40"/>
    </row>
    <row r="56" ht="12.75" customHeight="1">
      <c r="E56" s="40"/>
      <c r="F56" s="40"/>
      <c r="G56" s="40"/>
      <c r="H56" s="40"/>
      <c r="I56" s="40"/>
      <c r="J56" s="40"/>
      <c r="K56" s="40"/>
      <c r="L56" s="40"/>
      <c r="M56" s="40"/>
    </row>
    <row r="57" ht="12.75" customHeight="1">
      <c r="E57" s="40"/>
      <c r="F57" s="40"/>
      <c r="G57" s="40"/>
      <c r="H57" s="40"/>
      <c r="I57" s="40"/>
      <c r="J57" s="40"/>
      <c r="K57" s="40"/>
      <c r="L57" s="40"/>
      <c r="M57" s="40"/>
    </row>
    <row r="58" ht="12.75" customHeight="1">
      <c r="E58" s="40"/>
      <c r="F58" s="40"/>
      <c r="G58" s="40"/>
      <c r="H58" s="40"/>
      <c r="I58" s="40"/>
      <c r="J58" s="40"/>
      <c r="K58" s="40"/>
      <c r="L58" s="40"/>
      <c r="M58" s="40"/>
    </row>
    <row r="59" ht="12.75" customHeight="1">
      <c r="E59" s="40"/>
      <c r="F59" s="40"/>
      <c r="G59" s="40"/>
      <c r="H59" s="40"/>
      <c r="I59" s="40"/>
      <c r="J59" s="40"/>
      <c r="K59" s="40"/>
      <c r="L59" s="40"/>
      <c r="M59" s="40"/>
    </row>
    <row r="60" ht="12.75" customHeight="1">
      <c r="E60" s="40"/>
      <c r="F60" s="40"/>
      <c r="G60" s="40"/>
      <c r="H60" s="40"/>
      <c r="I60" s="40"/>
      <c r="J60" s="40"/>
      <c r="K60" s="40"/>
      <c r="L60" s="40"/>
      <c r="M60" s="40"/>
    </row>
    <row r="61" ht="12.75" customHeight="1">
      <c r="E61" s="40"/>
      <c r="F61" s="40"/>
      <c r="G61" s="40"/>
      <c r="H61" s="40"/>
      <c r="I61" s="40"/>
      <c r="J61" s="40"/>
      <c r="K61" s="40"/>
      <c r="L61" s="40"/>
      <c r="M61" s="40"/>
    </row>
    <row r="62" ht="12.75" customHeight="1">
      <c r="E62" s="40"/>
      <c r="F62" s="40"/>
      <c r="G62" s="40"/>
      <c r="H62" s="40"/>
      <c r="I62" s="40"/>
      <c r="J62" s="40"/>
      <c r="K62" s="40"/>
      <c r="L62" s="40"/>
      <c r="M62" s="40"/>
    </row>
    <row r="63" ht="12.75" customHeight="1">
      <c r="E63" s="40"/>
      <c r="F63" s="40"/>
      <c r="G63" s="40"/>
      <c r="H63" s="40"/>
      <c r="I63" s="40"/>
      <c r="J63" s="40"/>
      <c r="K63" s="40"/>
      <c r="L63" s="40"/>
      <c r="M63" s="40"/>
    </row>
    <row r="64" ht="12.75" customHeight="1">
      <c r="E64" s="40"/>
      <c r="F64" s="40"/>
      <c r="G64" s="40"/>
      <c r="H64" s="40"/>
      <c r="I64" s="40"/>
      <c r="J64" s="40"/>
      <c r="K64" s="40"/>
      <c r="L64" s="40"/>
      <c r="M64" s="40"/>
    </row>
    <row r="65" ht="12.75" customHeight="1">
      <c r="E65" s="40"/>
      <c r="F65" s="40"/>
      <c r="G65" s="40"/>
      <c r="H65" s="40"/>
      <c r="I65" s="40"/>
      <c r="J65" s="40"/>
      <c r="K65" s="40"/>
      <c r="L65" s="40"/>
      <c r="M65" s="40"/>
    </row>
    <row r="66" ht="12.75" customHeight="1">
      <c r="E66" s="40"/>
      <c r="F66" s="40"/>
      <c r="G66" s="40"/>
      <c r="H66" s="40"/>
      <c r="I66" s="40"/>
      <c r="J66" s="40"/>
      <c r="K66" s="40"/>
      <c r="L66" s="40"/>
      <c r="M66" s="40"/>
    </row>
    <row r="67" ht="12.75" customHeight="1">
      <c r="E67" s="40"/>
      <c r="F67" s="40"/>
      <c r="G67" s="40"/>
      <c r="H67" s="40"/>
      <c r="I67" s="40"/>
      <c r="J67" s="40"/>
      <c r="K67" s="40"/>
      <c r="L67" s="40"/>
      <c r="M67" s="40"/>
    </row>
    <row r="68" ht="12.75" customHeight="1">
      <c r="E68" s="40"/>
      <c r="F68" s="40"/>
      <c r="G68" s="40"/>
      <c r="H68" s="40"/>
      <c r="I68" s="40"/>
      <c r="J68" s="40"/>
      <c r="K68" s="40"/>
      <c r="L68" s="40"/>
      <c r="M68" s="40"/>
    </row>
    <row r="69" ht="12.75" customHeight="1">
      <c r="E69" s="40"/>
      <c r="F69" s="40"/>
      <c r="G69" s="40"/>
      <c r="H69" s="40"/>
      <c r="I69" s="40"/>
      <c r="J69" s="40"/>
      <c r="K69" s="40"/>
      <c r="L69" s="40"/>
      <c r="M69" s="40"/>
    </row>
    <row r="70" ht="12.75" customHeight="1">
      <c r="E70" s="40"/>
      <c r="F70" s="40"/>
      <c r="G70" s="40"/>
      <c r="H70" s="40"/>
      <c r="I70" s="40"/>
      <c r="J70" s="40"/>
      <c r="K70" s="40"/>
      <c r="L70" s="40"/>
      <c r="M70" s="40"/>
    </row>
    <row r="71" ht="12.75" customHeight="1">
      <c r="E71" s="40"/>
      <c r="F71" s="40"/>
      <c r="G71" s="40"/>
      <c r="H71" s="40"/>
      <c r="I71" s="40"/>
      <c r="J71" s="40"/>
      <c r="K71" s="40"/>
      <c r="L71" s="40"/>
      <c r="M71" s="40"/>
    </row>
    <row r="72" ht="12.75" customHeight="1">
      <c r="E72" s="40"/>
      <c r="F72" s="40"/>
      <c r="G72" s="40"/>
      <c r="H72" s="40"/>
      <c r="I72" s="40"/>
      <c r="J72" s="40"/>
      <c r="K72" s="40"/>
      <c r="L72" s="40"/>
      <c r="M72" s="40"/>
    </row>
    <row r="73" ht="12.75" customHeight="1">
      <c r="E73" s="40"/>
      <c r="F73" s="40"/>
      <c r="G73" s="40"/>
      <c r="H73" s="40"/>
      <c r="I73" s="40"/>
      <c r="J73" s="40"/>
      <c r="K73" s="40"/>
      <c r="L73" s="40"/>
      <c r="M73" s="40"/>
    </row>
    <row r="74" ht="12.75" customHeight="1">
      <c r="E74" s="40"/>
      <c r="F74" s="40"/>
      <c r="G74" s="40"/>
      <c r="H74" s="40"/>
      <c r="I74" s="40"/>
      <c r="J74" s="40"/>
      <c r="K74" s="40"/>
      <c r="L74" s="40"/>
      <c r="M74" s="40"/>
    </row>
    <row r="75" ht="12.75" customHeight="1">
      <c r="E75" s="40"/>
      <c r="F75" s="40"/>
      <c r="G75" s="40"/>
      <c r="H75" s="40"/>
      <c r="I75" s="40"/>
      <c r="J75" s="40"/>
      <c r="K75" s="40"/>
      <c r="L75" s="40"/>
      <c r="M75" s="40"/>
    </row>
    <row r="76" ht="12.75" customHeight="1">
      <c r="E76" s="40"/>
      <c r="F76" s="40"/>
      <c r="G76" s="40"/>
      <c r="H76" s="40"/>
      <c r="I76" s="40"/>
      <c r="J76" s="40"/>
      <c r="K76" s="40"/>
      <c r="L76" s="40"/>
      <c r="M76" s="40"/>
    </row>
    <row r="77" ht="12.75" customHeight="1">
      <c r="E77" s="40"/>
      <c r="F77" s="40"/>
      <c r="G77" s="40"/>
      <c r="H77" s="40"/>
      <c r="I77" s="40"/>
      <c r="J77" s="40"/>
      <c r="K77" s="40"/>
      <c r="L77" s="40"/>
      <c r="M77" s="40"/>
    </row>
    <row r="78" ht="12.75" customHeight="1">
      <c r="E78" s="40"/>
      <c r="F78" s="40"/>
      <c r="G78" s="40"/>
      <c r="H78" s="40"/>
      <c r="I78" s="40"/>
      <c r="J78" s="40"/>
      <c r="K78" s="40"/>
      <c r="L78" s="40"/>
      <c r="M78" s="40"/>
    </row>
    <row r="79" ht="12.75" customHeight="1">
      <c r="E79" s="40"/>
      <c r="F79" s="40"/>
      <c r="G79" s="40"/>
      <c r="H79" s="40"/>
      <c r="I79" s="40"/>
      <c r="J79" s="40"/>
      <c r="K79" s="40"/>
      <c r="L79" s="40"/>
      <c r="M79" s="40"/>
    </row>
    <row r="80" ht="12.75" customHeight="1">
      <c r="E80" s="40"/>
      <c r="F80" s="40"/>
      <c r="G80" s="40"/>
      <c r="H80" s="40"/>
      <c r="I80" s="40"/>
      <c r="J80" s="40"/>
      <c r="K80" s="40"/>
      <c r="L80" s="40"/>
      <c r="M80" s="40"/>
    </row>
    <row r="81" ht="12.75" customHeight="1">
      <c r="E81" s="40"/>
      <c r="F81" s="40"/>
      <c r="G81" s="40"/>
      <c r="H81" s="40"/>
      <c r="I81" s="40"/>
      <c r="J81" s="40"/>
      <c r="K81" s="40"/>
      <c r="L81" s="40"/>
      <c r="M81" s="40"/>
    </row>
    <row r="82" ht="12.75" customHeight="1">
      <c r="E82" s="40"/>
      <c r="F82" s="40"/>
      <c r="G82" s="40"/>
      <c r="H82" s="40"/>
      <c r="I82" s="40"/>
      <c r="J82" s="40"/>
      <c r="K82" s="40"/>
      <c r="L82" s="40"/>
      <c r="M82" s="40"/>
    </row>
    <row r="83" ht="12.75" customHeight="1">
      <c r="E83" s="40"/>
      <c r="F83" s="40"/>
      <c r="G83" s="40"/>
      <c r="H83" s="40"/>
      <c r="I83" s="40"/>
      <c r="J83" s="40"/>
      <c r="K83" s="40"/>
      <c r="L83" s="40"/>
      <c r="M83" s="40"/>
    </row>
    <row r="84" ht="12.75" customHeight="1">
      <c r="E84" s="40"/>
      <c r="F84" s="40"/>
      <c r="G84" s="40"/>
      <c r="H84" s="40"/>
      <c r="I84" s="40"/>
      <c r="J84" s="40"/>
      <c r="K84" s="40"/>
      <c r="L84" s="40"/>
      <c r="M84" s="40"/>
    </row>
    <row r="85" ht="12.75" customHeight="1">
      <c r="E85" s="40"/>
      <c r="F85" s="40"/>
      <c r="G85" s="40"/>
      <c r="H85" s="40"/>
      <c r="I85" s="40"/>
      <c r="J85" s="40"/>
      <c r="K85" s="40"/>
      <c r="L85" s="40"/>
      <c r="M85" s="40"/>
    </row>
    <row r="86" ht="12.75" customHeight="1">
      <c r="E86" s="40"/>
      <c r="F86" s="40"/>
      <c r="G86" s="40"/>
      <c r="H86" s="40"/>
      <c r="I86" s="40"/>
      <c r="J86" s="40"/>
      <c r="K86" s="40"/>
      <c r="L86" s="40"/>
      <c r="M86" s="40"/>
    </row>
    <row r="87" ht="12.75" customHeight="1">
      <c r="E87" s="40"/>
      <c r="F87" s="40"/>
      <c r="G87" s="40"/>
      <c r="H87" s="40"/>
      <c r="I87" s="40"/>
      <c r="J87" s="40"/>
      <c r="K87" s="40"/>
      <c r="L87" s="40"/>
      <c r="M87" s="40"/>
    </row>
    <row r="88" ht="12.75" customHeight="1">
      <c r="E88" s="40"/>
      <c r="F88" s="40"/>
      <c r="G88" s="40"/>
      <c r="H88" s="40"/>
      <c r="I88" s="40"/>
      <c r="J88" s="40"/>
      <c r="K88" s="40"/>
      <c r="L88" s="40"/>
      <c r="M88" s="40"/>
    </row>
    <row r="89" ht="12.75" customHeight="1">
      <c r="E89" s="40"/>
      <c r="F89" s="40"/>
      <c r="G89" s="40"/>
      <c r="H89" s="40"/>
      <c r="I89" s="40"/>
      <c r="J89" s="40"/>
      <c r="K89" s="40"/>
      <c r="L89" s="40"/>
      <c r="M89" s="40"/>
    </row>
    <row r="90" ht="12.75" customHeight="1">
      <c r="E90" s="40"/>
      <c r="F90" s="40"/>
      <c r="G90" s="40"/>
      <c r="H90" s="40"/>
      <c r="I90" s="40"/>
      <c r="J90" s="40"/>
      <c r="K90" s="40"/>
      <c r="L90" s="40"/>
      <c r="M90" s="40"/>
    </row>
    <row r="91" ht="12.75" customHeight="1">
      <c r="E91" s="40"/>
      <c r="F91" s="40"/>
      <c r="G91" s="40"/>
      <c r="H91" s="40"/>
      <c r="I91" s="40"/>
      <c r="J91" s="40"/>
      <c r="K91" s="40"/>
      <c r="L91" s="40"/>
      <c r="M91" s="40"/>
    </row>
    <row r="92" ht="12.75" customHeight="1">
      <c r="E92" s="40"/>
      <c r="F92" s="40"/>
      <c r="G92" s="40"/>
      <c r="H92" s="40"/>
      <c r="I92" s="40"/>
      <c r="J92" s="40"/>
      <c r="K92" s="40"/>
      <c r="L92" s="40"/>
      <c r="M92" s="40"/>
    </row>
    <row r="93" ht="12.75" customHeight="1">
      <c r="E93" s="40"/>
      <c r="F93" s="40"/>
      <c r="G93" s="40"/>
      <c r="H93" s="40"/>
      <c r="I93" s="40"/>
      <c r="J93" s="40"/>
      <c r="K93" s="40"/>
      <c r="L93" s="40"/>
      <c r="M93" s="40"/>
    </row>
    <row r="94" ht="12.75" customHeight="1">
      <c r="E94" s="40"/>
      <c r="F94" s="40"/>
      <c r="G94" s="40"/>
      <c r="H94" s="40"/>
      <c r="I94" s="40"/>
      <c r="J94" s="40"/>
      <c r="K94" s="40"/>
      <c r="L94" s="40"/>
      <c r="M94" s="40"/>
    </row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</sheetData>
  <printOptions/>
  <pageMargins bottom="1.0" footer="0.0" header="0.0" left="0.75" right="0.75" top="1.0"/>
  <pageSetup paperSize="9"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5.38"/>
    <col customWidth="1" min="2" max="2" width="42.63"/>
    <col customWidth="1" hidden="1" min="3" max="3" width="14.13"/>
    <col customWidth="1" hidden="1" min="4" max="4" width="12.13"/>
    <col customWidth="1" min="5" max="5" width="14.13"/>
    <col customWidth="1" min="6" max="7" width="10.63"/>
    <col customWidth="1" min="8" max="8" width="9.88"/>
    <col customWidth="1" min="9" max="9" width="11.88"/>
    <col customWidth="1" min="10" max="10" width="14.0"/>
    <col customWidth="1" hidden="1" min="11" max="11" width="8.13"/>
    <col customWidth="1" min="12" max="12" width="16.13"/>
    <col customWidth="1" min="13" max="13" width="13.63"/>
    <col customWidth="1" hidden="1" min="14" max="14" width="6.88"/>
    <col customWidth="1" min="15" max="15" width="25.38"/>
    <col customWidth="1" min="16" max="26" width="9.13"/>
  </cols>
  <sheetData>
    <row r="1" ht="12.75" customHeight="1">
      <c r="A1" s="78" t="s">
        <v>151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 ht="12.75" customHeight="1">
      <c r="A2" s="19" t="s">
        <v>28</v>
      </c>
      <c r="B2" s="19"/>
      <c r="C2" s="19"/>
      <c r="D2" s="19"/>
      <c r="E2" s="19"/>
      <c r="F2" s="20"/>
      <c r="K2" s="19"/>
      <c r="L2" s="19"/>
    </row>
    <row r="3" ht="12.75" customHeight="1">
      <c r="A3" s="19" t="s">
        <v>29</v>
      </c>
      <c r="B3" s="19"/>
      <c r="K3" s="19"/>
      <c r="L3" s="19"/>
    </row>
    <row r="4" ht="12.75" customHeight="1">
      <c r="A4" s="21" t="s">
        <v>30</v>
      </c>
      <c r="B4" s="21" t="s">
        <v>3</v>
      </c>
      <c r="C4" s="21" t="s">
        <v>4</v>
      </c>
      <c r="D4" s="21" t="s">
        <v>5</v>
      </c>
      <c r="E4" s="22">
        <v>1.0</v>
      </c>
      <c r="F4" s="22">
        <v>2.0</v>
      </c>
      <c r="G4" s="22">
        <v>3.0</v>
      </c>
      <c r="H4" s="22">
        <v>4.0</v>
      </c>
      <c r="I4" s="22">
        <v>5.0</v>
      </c>
      <c r="J4" s="22" t="s">
        <v>31</v>
      </c>
      <c r="K4" s="23" t="s">
        <v>32</v>
      </c>
      <c r="L4" s="22" t="s">
        <v>33</v>
      </c>
      <c r="M4" s="22" t="s">
        <v>34</v>
      </c>
      <c r="N4" s="18" t="s">
        <v>32</v>
      </c>
      <c r="O4" s="24" t="s">
        <v>35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 ht="12.75" customHeight="1">
      <c r="A5" s="80">
        <v>1.0</v>
      </c>
      <c r="B5" s="27" t="s">
        <v>36</v>
      </c>
      <c r="C5" s="28"/>
      <c r="D5" s="28"/>
      <c r="E5" s="29">
        <v>6.06</v>
      </c>
      <c r="F5" s="29">
        <v>3.0</v>
      </c>
      <c r="G5" s="29">
        <v>6.64</v>
      </c>
      <c r="H5" s="29">
        <v>4.89</v>
      </c>
      <c r="I5" s="29">
        <v>3.06</v>
      </c>
      <c r="J5" s="30">
        <f t="shared" ref="J5:J26" si="1">IF(MIN(E5:I5)&gt;0,MIN(E5:I5),IF(COUNTBLANK(E5:I5)=5,"","DNF"))</f>
        <v>3</v>
      </c>
      <c r="K5" s="30"/>
      <c r="L5" s="30">
        <f t="shared" ref="L5:L43" si="2">IF(COUNTBLANK(E5:I5)&gt;0,"",IF(COUNTIF(E5:I5,"DNF")+COUNTIF(E5:I5,"DNS")&gt;0,"DNF",MAX(E5:I5)))</f>
        <v>6.64</v>
      </c>
      <c r="M5" s="30">
        <f t="shared" ref="M5:M27" si="3">IF(COUNTBLANK(E5:I5)&gt;0,"",IF(COUNTIF(E5:I5,"DNF")+COUNTIF(E5:I5,"DNS")&gt;1,"DNF",ROUND(IF(COUNTIF(E5:I5,"DNF")+COUNTIF(E5:I5,"DNS")&gt;0,(SUM(E5:I5)-J5)/3,(SUM(E5:I5)-J5-L5)/3),2)))</f>
        <v>4.67</v>
      </c>
      <c r="N5" s="25"/>
      <c r="O5" s="31">
        <f t="shared" ref="O5:O43" si="4">M5/86400</f>
        <v>0.00005405092593</v>
      </c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</row>
    <row r="6" ht="12.75" customHeight="1">
      <c r="A6" s="80">
        <v>2.0</v>
      </c>
      <c r="B6" s="27" t="s">
        <v>40</v>
      </c>
      <c r="C6" s="28"/>
      <c r="D6" s="28"/>
      <c r="E6" s="29">
        <v>5.69</v>
      </c>
      <c r="F6" s="29">
        <v>4.51</v>
      </c>
      <c r="G6" s="29">
        <v>5.12</v>
      </c>
      <c r="H6" s="29">
        <v>4.78</v>
      </c>
      <c r="I6" s="29">
        <v>6.13</v>
      </c>
      <c r="J6" s="30">
        <f t="shared" si="1"/>
        <v>4.51</v>
      </c>
      <c r="K6" s="30"/>
      <c r="L6" s="30">
        <f t="shared" si="2"/>
        <v>6.13</v>
      </c>
      <c r="M6" s="30">
        <f t="shared" si="3"/>
        <v>5.2</v>
      </c>
      <c r="N6" s="25"/>
      <c r="O6" s="31">
        <f t="shared" si="4"/>
        <v>0.00006018518519</v>
      </c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</row>
    <row r="7" ht="12.75" customHeight="1">
      <c r="A7" s="80">
        <v>3.0</v>
      </c>
      <c r="B7" s="27" t="s">
        <v>152</v>
      </c>
      <c r="C7" s="28"/>
      <c r="D7" s="28"/>
      <c r="E7" s="29">
        <v>6.8</v>
      </c>
      <c r="F7" s="29">
        <v>4.59</v>
      </c>
      <c r="G7" s="29">
        <v>3.74</v>
      </c>
      <c r="H7" s="29">
        <v>6.53</v>
      </c>
      <c r="I7" s="29">
        <v>6.24</v>
      </c>
      <c r="J7" s="30">
        <f t="shared" si="1"/>
        <v>3.74</v>
      </c>
      <c r="K7" s="30"/>
      <c r="L7" s="30">
        <f t="shared" si="2"/>
        <v>6.8</v>
      </c>
      <c r="M7" s="30">
        <f t="shared" si="3"/>
        <v>5.79</v>
      </c>
      <c r="N7" s="25"/>
      <c r="O7" s="31">
        <f t="shared" si="4"/>
        <v>0.00006701388889</v>
      </c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</row>
    <row r="8" ht="12.75" customHeight="1">
      <c r="A8" s="80">
        <v>4.0</v>
      </c>
      <c r="B8" s="27" t="s">
        <v>53</v>
      </c>
      <c r="C8" s="28"/>
      <c r="D8" s="28"/>
      <c r="E8" s="29">
        <v>2.99</v>
      </c>
      <c r="F8" s="29">
        <v>7.47</v>
      </c>
      <c r="G8" s="29">
        <v>5.99</v>
      </c>
      <c r="H8" s="29">
        <v>4.91</v>
      </c>
      <c r="I8" s="29">
        <v>6.92</v>
      </c>
      <c r="J8" s="30">
        <f t="shared" si="1"/>
        <v>2.99</v>
      </c>
      <c r="K8" s="30"/>
      <c r="L8" s="30">
        <f t="shared" si="2"/>
        <v>7.47</v>
      </c>
      <c r="M8" s="30">
        <f t="shared" si="3"/>
        <v>5.94</v>
      </c>
      <c r="N8" s="25"/>
      <c r="O8" s="31">
        <f t="shared" si="4"/>
        <v>0.00006875</v>
      </c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</row>
    <row r="9" ht="12.75" customHeight="1">
      <c r="A9" s="80">
        <v>5.0</v>
      </c>
      <c r="B9" s="27" t="s">
        <v>44</v>
      </c>
      <c r="C9" s="28"/>
      <c r="D9" s="28"/>
      <c r="E9" s="81">
        <v>3.53</v>
      </c>
      <c r="F9" s="29">
        <v>5.31</v>
      </c>
      <c r="G9" s="29">
        <v>6.95</v>
      </c>
      <c r="H9" s="29">
        <v>5.84</v>
      </c>
      <c r="I9" s="29">
        <v>10.19</v>
      </c>
      <c r="J9" s="30">
        <f t="shared" si="1"/>
        <v>3.53</v>
      </c>
      <c r="K9" s="30"/>
      <c r="L9" s="30">
        <f t="shared" si="2"/>
        <v>10.19</v>
      </c>
      <c r="M9" s="30">
        <f t="shared" si="3"/>
        <v>6.03</v>
      </c>
      <c r="N9" s="25"/>
      <c r="O9" s="31">
        <f t="shared" si="4"/>
        <v>0.00006979166667</v>
      </c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 ht="12.75" customHeight="1">
      <c r="A10" s="80">
        <v>6.0</v>
      </c>
      <c r="B10" s="27" t="s">
        <v>38</v>
      </c>
      <c r="C10" s="28"/>
      <c r="D10" s="28"/>
      <c r="E10" s="29">
        <v>3.17</v>
      </c>
      <c r="F10" s="29">
        <v>5.96</v>
      </c>
      <c r="G10" s="29">
        <v>12.77</v>
      </c>
      <c r="H10" s="29">
        <v>6.91</v>
      </c>
      <c r="I10" s="29">
        <v>6.62</v>
      </c>
      <c r="J10" s="30">
        <f t="shared" si="1"/>
        <v>3.17</v>
      </c>
      <c r="K10" s="30"/>
      <c r="L10" s="30">
        <f t="shared" si="2"/>
        <v>12.77</v>
      </c>
      <c r="M10" s="30">
        <f t="shared" si="3"/>
        <v>6.5</v>
      </c>
      <c r="N10" s="25"/>
      <c r="O10" s="31">
        <f t="shared" si="4"/>
        <v>0.00007523148148</v>
      </c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 ht="12.75" customHeight="1">
      <c r="A11" s="80">
        <v>7.0</v>
      </c>
      <c r="B11" s="27" t="s">
        <v>42</v>
      </c>
      <c r="C11" s="33"/>
      <c r="D11" s="33"/>
      <c r="E11" s="29">
        <v>4.79</v>
      </c>
      <c r="F11" s="29">
        <v>7.15</v>
      </c>
      <c r="G11" s="29">
        <v>8.18</v>
      </c>
      <c r="H11" s="29">
        <v>8.49</v>
      </c>
      <c r="I11" s="29">
        <v>6.04</v>
      </c>
      <c r="J11" s="30">
        <f t="shared" si="1"/>
        <v>4.79</v>
      </c>
      <c r="K11" s="30"/>
      <c r="L11" s="30">
        <f t="shared" si="2"/>
        <v>8.49</v>
      </c>
      <c r="M11" s="30">
        <f t="shared" si="3"/>
        <v>7.12</v>
      </c>
      <c r="N11" s="25"/>
      <c r="O11" s="31">
        <f t="shared" si="4"/>
        <v>0.00008240740741</v>
      </c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 ht="12.75" customHeight="1">
      <c r="A12" s="80">
        <v>8.0</v>
      </c>
      <c r="B12" s="27" t="s">
        <v>37</v>
      </c>
      <c r="C12" s="28"/>
      <c r="D12" s="28"/>
      <c r="E12" s="29">
        <v>8.86</v>
      </c>
      <c r="F12" s="29">
        <v>10.33</v>
      </c>
      <c r="G12" s="29">
        <v>14.06</v>
      </c>
      <c r="H12" s="29">
        <v>6.47</v>
      </c>
      <c r="I12" s="29">
        <v>6.37</v>
      </c>
      <c r="J12" s="30">
        <f t="shared" si="1"/>
        <v>6.37</v>
      </c>
      <c r="K12" s="30"/>
      <c r="L12" s="30">
        <f t="shared" si="2"/>
        <v>14.06</v>
      </c>
      <c r="M12" s="30">
        <f t="shared" si="3"/>
        <v>8.55</v>
      </c>
      <c r="N12" s="25"/>
      <c r="O12" s="31">
        <f t="shared" si="4"/>
        <v>0.00009895833333</v>
      </c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 ht="12.75" customHeight="1">
      <c r="A13" s="80">
        <v>9.0</v>
      </c>
      <c r="B13" s="27" t="s">
        <v>75</v>
      </c>
      <c r="C13" s="33"/>
      <c r="D13" s="33"/>
      <c r="E13" s="29">
        <v>6.55</v>
      </c>
      <c r="F13" s="29">
        <v>8.69</v>
      </c>
      <c r="G13" s="29">
        <v>14.8</v>
      </c>
      <c r="H13" s="29">
        <v>8.53</v>
      </c>
      <c r="I13" s="29">
        <v>20.22</v>
      </c>
      <c r="J13" s="30">
        <f t="shared" si="1"/>
        <v>6.55</v>
      </c>
      <c r="K13" s="30"/>
      <c r="L13" s="30">
        <f t="shared" si="2"/>
        <v>20.22</v>
      </c>
      <c r="M13" s="30">
        <f t="shared" si="3"/>
        <v>10.67</v>
      </c>
      <c r="N13" s="25"/>
      <c r="O13" s="31">
        <f t="shared" si="4"/>
        <v>0.0001234953704</v>
      </c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 ht="12.75" customHeight="1">
      <c r="A14" s="80">
        <v>10.0</v>
      </c>
      <c r="B14" s="27" t="s">
        <v>58</v>
      </c>
      <c r="C14" s="28"/>
      <c r="D14" s="28"/>
      <c r="E14" s="29">
        <v>10.24</v>
      </c>
      <c r="F14" s="29">
        <v>12.09</v>
      </c>
      <c r="G14" s="29">
        <v>10.49</v>
      </c>
      <c r="H14" s="29">
        <v>13.92</v>
      </c>
      <c r="I14" s="29">
        <v>11.15</v>
      </c>
      <c r="J14" s="30">
        <f t="shared" si="1"/>
        <v>10.24</v>
      </c>
      <c r="K14" s="30"/>
      <c r="L14" s="30">
        <f t="shared" si="2"/>
        <v>13.92</v>
      </c>
      <c r="M14" s="30">
        <f t="shared" si="3"/>
        <v>11.24</v>
      </c>
      <c r="N14" s="25"/>
      <c r="O14" s="31">
        <f t="shared" si="4"/>
        <v>0.0001300925926</v>
      </c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ht="12.75" customHeight="1">
      <c r="A15" s="80">
        <v>11.0</v>
      </c>
      <c r="B15" s="27" t="s">
        <v>86</v>
      </c>
      <c r="C15" s="28"/>
      <c r="D15" s="28"/>
      <c r="E15" s="29">
        <v>4.45</v>
      </c>
      <c r="F15" s="29">
        <v>11.96</v>
      </c>
      <c r="G15" s="29">
        <v>12.45</v>
      </c>
      <c r="H15" s="29">
        <v>10.82</v>
      </c>
      <c r="I15" s="29">
        <v>11.7</v>
      </c>
      <c r="J15" s="30">
        <f t="shared" si="1"/>
        <v>4.45</v>
      </c>
      <c r="K15" s="30"/>
      <c r="L15" s="30">
        <f t="shared" si="2"/>
        <v>12.45</v>
      </c>
      <c r="M15" s="30">
        <f t="shared" si="3"/>
        <v>11.49</v>
      </c>
      <c r="N15" s="25"/>
      <c r="O15" s="31">
        <f t="shared" si="4"/>
        <v>0.0001329861111</v>
      </c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ht="12.75" customHeight="1">
      <c r="A16" s="80">
        <v>12.0</v>
      </c>
      <c r="B16" s="27" t="s">
        <v>55</v>
      </c>
      <c r="C16" s="33"/>
      <c r="D16" s="33"/>
      <c r="E16" s="29">
        <v>6.46</v>
      </c>
      <c r="F16" s="29">
        <v>15.98</v>
      </c>
      <c r="G16" s="29">
        <v>20.03</v>
      </c>
      <c r="H16" s="29">
        <v>6.95</v>
      </c>
      <c r="I16" s="29">
        <v>12.78</v>
      </c>
      <c r="J16" s="30">
        <f t="shared" si="1"/>
        <v>6.46</v>
      </c>
      <c r="K16" s="30"/>
      <c r="L16" s="30">
        <f t="shared" si="2"/>
        <v>20.03</v>
      </c>
      <c r="M16" s="30">
        <f t="shared" si="3"/>
        <v>11.9</v>
      </c>
      <c r="N16" s="25"/>
      <c r="O16" s="31">
        <f t="shared" si="4"/>
        <v>0.0001377314815</v>
      </c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 ht="12.75" customHeight="1">
      <c r="A17" s="55">
        <v>14.0</v>
      </c>
      <c r="B17" s="27" t="s">
        <v>153</v>
      </c>
      <c r="C17" s="33"/>
      <c r="D17" s="33"/>
      <c r="E17" s="34">
        <v>53.19</v>
      </c>
      <c r="F17" s="34">
        <v>26.66</v>
      </c>
      <c r="G17" s="34" t="s">
        <v>154</v>
      </c>
      <c r="H17" s="34">
        <v>39.45</v>
      </c>
      <c r="I17" s="34" t="s">
        <v>155</v>
      </c>
      <c r="J17" s="35">
        <f t="shared" si="1"/>
        <v>26.66</v>
      </c>
      <c r="K17" s="35"/>
      <c r="L17" s="35">
        <f t="shared" si="2"/>
        <v>53.19</v>
      </c>
      <c r="M17" s="35">
        <f t="shared" si="3"/>
        <v>13.15</v>
      </c>
      <c r="N17" s="25"/>
      <c r="O17" s="31">
        <f t="shared" si="4"/>
        <v>0.0001521990741</v>
      </c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 ht="12.75" customHeight="1">
      <c r="A18" s="55">
        <v>15.0</v>
      </c>
      <c r="B18" s="27" t="s">
        <v>52</v>
      </c>
      <c r="C18" s="28"/>
      <c r="D18" s="28"/>
      <c r="E18" s="29">
        <v>14.01</v>
      </c>
      <c r="F18" s="29">
        <v>13.66</v>
      </c>
      <c r="G18" s="29">
        <v>18.21</v>
      </c>
      <c r="H18" s="29">
        <v>8.16</v>
      </c>
      <c r="I18" s="29">
        <v>17.99</v>
      </c>
      <c r="J18" s="30">
        <f t="shared" si="1"/>
        <v>8.16</v>
      </c>
      <c r="K18" s="30"/>
      <c r="L18" s="30">
        <f t="shared" si="2"/>
        <v>18.21</v>
      </c>
      <c r="M18" s="30">
        <f t="shared" si="3"/>
        <v>15.22</v>
      </c>
      <c r="N18" s="25"/>
      <c r="O18" s="31">
        <f t="shared" si="4"/>
        <v>0.0001761574074</v>
      </c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 ht="12.75" customHeight="1">
      <c r="A19" s="55">
        <v>16.0</v>
      </c>
      <c r="B19" s="27" t="s">
        <v>48</v>
      </c>
      <c r="C19" s="28"/>
      <c r="D19" s="28"/>
      <c r="E19" s="29">
        <v>16.9</v>
      </c>
      <c r="F19" s="29">
        <v>14.36</v>
      </c>
      <c r="G19" s="29">
        <v>13.31</v>
      </c>
      <c r="H19" s="29">
        <v>15.46</v>
      </c>
      <c r="I19" s="29">
        <v>17.0</v>
      </c>
      <c r="J19" s="30">
        <f t="shared" si="1"/>
        <v>13.31</v>
      </c>
      <c r="K19" s="30"/>
      <c r="L19" s="30">
        <f t="shared" si="2"/>
        <v>17</v>
      </c>
      <c r="M19" s="30">
        <f t="shared" si="3"/>
        <v>15.57</v>
      </c>
      <c r="N19" s="25"/>
      <c r="O19" s="31">
        <f t="shared" si="4"/>
        <v>0.0001802083333</v>
      </c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 ht="12.75" customHeight="1">
      <c r="A20" s="55">
        <v>17.0</v>
      </c>
      <c r="B20" s="27" t="s">
        <v>81</v>
      </c>
      <c r="C20" s="41"/>
      <c r="D20" s="41"/>
      <c r="E20" s="29">
        <v>37.39</v>
      </c>
      <c r="F20" s="29">
        <v>18.79</v>
      </c>
      <c r="G20" s="29">
        <v>48.09</v>
      </c>
      <c r="H20" s="29">
        <v>33.1</v>
      </c>
      <c r="I20" s="29">
        <v>43.96</v>
      </c>
      <c r="J20" s="30">
        <f t="shared" si="1"/>
        <v>18.79</v>
      </c>
      <c r="K20" s="30"/>
      <c r="L20" s="30">
        <f t="shared" si="2"/>
        <v>48.09</v>
      </c>
      <c r="M20" s="30">
        <f t="shared" si="3"/>
        <v>38.15</v>
      </c>
      <c r="N20" s="25"/>
      <c r="O20" s="31">
        <f t="shared" si="4"/>
        <v>0.0004415509259</v>
      </c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 ht="12.75" customHeight="1">
      <c r="A21" s="55">
        <v>18.0</v>
      </c>
      <c r="B21" s="27" t="s">
        <v>50</v>
      </c>
      <c r="C21" s="28"/>
      <c r="D21" s="28"/>
      <c r="E21" s="29">
        <v>14.7</v>
      </c>
      <c r="F21" s="29">
        <v>11.63</v>
      </c>
      <c r="G21" s="29" t="s">
        <v>49</v>
      </c>
      <c r="H21" s="29">
        <v>6.1</v>
      </c>
      <c r="I21" s="29" t="s">
        <v>49</v>
      </c>
      <c r="J21" s="30">
        <f t="shared" si="1"/>
        <v>6.1</v>
      </c>
      <c r="K21" s="30"/>
      <c r="L21" s="30" t="str">
        <f t="shared" si="2"/>
        <v>DNF</v>
      </c>
      <c r="M21" s="30" t="str">
        <f t="shared" si="3"/>
        <v>DNF</v>
      </c>
      <c r="N21" s="25"/>
      <c r="O21" s="31" t="str">
        <f t="shared" si="4"/>
        <v>#VALUE!</v>
      </c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 ht="12.75" customHeight="1">
      <c r="A22" s="55">
        <v>19.0</v>
      </c>
      <c r="B22" s="27" t="s">
        <v>51</v>
      </c>
      <c r="C22" s="28"/>
      <c r="D22" s="28"/>
      <c r="E22" s="29">
        <v>7.19</v>
      </c>
      <c r="F22" s="29">
        <v>13.36</v>
      </c>
      <c r="G22" s="29" t="s">
        <v>49</v>
      </c>
      <c r="H22" s="29" t="s">
        <v>49</v>
      </c>
      <c r="I22" s="29" t="s">
        <v>49</v>
      </c>
      <c r="J22" s="30">
        <f t="shared" si="1"/>
        <v>7.19</v>
      </c>
      <c r="K22" s="30"/>
      <c r="L22" s="30" t="str">
        <f t="shared" si="2"/>
        <v>DNF</v>
      </c>
      <c r="M22" s="30" t="str">
        <f t="shared" si="3"/>
        <v>DNF</v>
      </c>
      <c r="N22" s="25"/>
      <c r="O22" s="31" t="str">
        <f t="shared" si="4"/>
        <v>#VALUE!</v>
      </c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 ht="12.75" customHeight="1">
      <c r="A23" s="55">
        <v>20.0</v>
      </c>
      <c r="B23" s="36"/>
      <c r="C23" s="28"/>
      <c r="D23" s="28"/>
      <c r="E23" s="30"/>
      <c r="F23" s="30"/>
      <c r="G23" s="30"/>
      <c r="H23" s="30"/>
      <c r="I23" s="30"/>
      <c r="J23" s="30" t="str">
        <f t="shared" si="1"/>
        <v/>
      </c>
      <c r="K23" s="30"/>
      <c r="L23" s="30" t="str">
        <f t="shared" si="2"/>
        <v/>
      </c>
      <c r="M23" s="30" t="str">
        <f t="shared" si="3"/>
        <v/>
      </c>
      <c r="N23" s="25"/>
      <c r="O23" s="31">
        <f t="shared" si="4"/>
        <v>0</v>
      </c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 ht="12.75" customHeight="1">
      <c r="A24" s="55">
        <v>21.0</v>
      </c>
      <c r="B24" s="36"/>
      <c r="C24" s="28"/>
      <c r="D24" s="28"/>
      <c r="E24" s="30"/>
      <c r="F24" s="30"/>
      <c r="G24" s="30"/>
      <c r="H24" s="30"/>
      <c r="I24" s="30"/>
      <c r="J24" s="30" t="str">
        <f t="shared" si="1"/>
        <v/>
      </c>
      <c r="K24" s="30"/>
      <c r="L24" s="30" t="str">
        <f t="shared" si="2"/>
        <v/>
      </c>
      <c r="M24" s="30" t="str">
        <f t="shared" si="3"/>
        <v/>
      </c>
      <c r="N24" s="25"/>
      <c r="O24" s="31">
        <f t="shared" si="4"/>
        <v>0</v>
      </c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 ht="12.75" customHeight="1">
      <c r="A25" s="55">
        <v>22.0</v>
      </c>
      <c r="B25" s="36"/>
      <c r="C25" s="28"/>
      <c r="D25" s="28"/>
      <c r="E25" s="30"/>
      <c r="F25" s="30"/>
      <c r="G25" s="30"/>
      <c r="H25" s="30"/>
      <c r="I25" s="30"/>
      <c r="J25" s="30" t="str">
        <f t="shared" si="1"/>
        <v/>
      </c>
      <c r="K25" s="30"/>
      <c r="L25" s="30" t="str">
        <f t="shared" si="2"/>
        <v/>
      </c>
      <c r="M25" s="30" t="str">
        <f t="shared" si="3"/>
        <v/>
      </c>
      <c r="N25" s="25"/>
      <c r="O25" s="31">
        <f t="shared" si="4"/>
        <v>0</v>
      </c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 ht="12.75" customHeight="1">
      <c r="A26" s="55">
        <v>23.0</v>
      </c>
      <c r="B26" s="36"/>
      <c r="C26" s="28"/>
      <c r="D26" s="28"/>
      <c r="E26" s="30"/>
      <c r="F26" s="30"/>
      <c r="G26" s="30"/>
      <c r="H26" s="30"/>
      <c r="I26" s="30"/>
      <c r="J26" s="30" t="str">
        <f t="shared" si="1"/>
        <v/>
      </c>
      <c r="K26" s="30"/>
      <c r="L26" s="30" t="str">
        <f t="shared" si="2"/>
        <v/>
      </c>
      <c r="M26" s="30" t="str">
        <f t="shared" si="3"/>
        <v/>
      </c>
      <c r="N26" s="25"/>
      <c r="O26" s="31">
        <f t="shared" si="4"/>
        <v>0</v>
      </c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 ht="12.75" customHeight="1">
      <c r="A27" s="55">
        <v>24.0</v>
      </c>
      <c r="B27" s="36"/>
      <c r="C27" s="28"/>
      <c r="D27" s="28"/>
      <c r="E27" s="30"/>
      <c r="F27" s="30"/>
      <c r="G27" s="30"/>
      <c r="H27" s="30"/>
      <c r="I27" s="30"/>
      <c r="J27" s="30">
        <v>54.39</v>
      </c>
      <c r="K27" s="30"/>
      <c r="L27" s="30" t="str">
        <f t="shared" si="2"/>
        <v/>
      </c>
      <c r="M27" s="30" t="str">
        <f t="shared" si="3"/>
        <v/>
      </c>
      <c r="N27" s="25"/>
      <c r="O27" s="31">
        <f t="shared" si="4"/>
        <v>0</v>
      </c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 ht="12.75" customHeight="1">
      <c r="A28" s="55">
        <v>25.0</v>
      </c>
      <c r="B28" s="36"/>
      <c r="C28" s="28"/>
      <c r="D28" s="28"/>
      <c r="E28" s="30"/>
      <c r="F28" s="30"/>
      <c r="G28" s="30"/>
      <c r="H28" s="30"/>
      <c r="I28" s="30"/>
      <c r="J28" s="30" t="str">
        <f t="shared" ref="J28:J43" si="5">IF(MIN(E28:I28)&gt;0,MIN(E28:I28),IF(COUNTBLANK(E28:I28)=5,"","DNF"))</f>
        <v/>
      </c>
      <c r="K28" s="30"/>
      <c r="L28" s="30" t="str">
        <f t="shared" si="2"/>
        <v/>
      </c>
      <c r="M28" s="30" t="str">
        <f>IF(COUNTBLANK(E28:I28)&gt;0,"",IF(COUNTIF(E28:I28,"DNF")+COUNTIF(E28:I28,"DNS")&gt;1,"DNF",IF(COUNTIF(E28:I28,"DNF")+COUNTIF(E28:I28,"DNS")&gt;0,(SUM(E28:I28)-J28)/3,(SUM(E28:I28)-J28-L28)/3)))</f>
        <v/>
      </c>
      <c r="N28" s="25"/>
      <c r="O28" s="31">
        <f t="shared" si="4"/>
        <v>0</v>
      </c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ht="12.75" customHeight="1">
      <c r="A29" s="55">
        <v>26.0</v>
      </c>
      <c r="B29" s="36"/>
      <c r="C29" s="28"/>
      <c r="D29" s="28"/>
      <c r="E29" s="30"/>
      <c r="F29" s="30"/>
      <c r="G29" s="30"/>
      <c r="H29" s="30"/>
      <c r="I29" s="30"/>
      <c r="J29" s="30" t="str">
        <f t="shared" si="5"/>
        <v/>
      </c>
      <c r="K29" s="30"/>
      <c r="L29" s="30" t="str">
        <f t="shared" si="2"/>
        <v/>
      </c>
      <c r="M29" s="30" t="str">
        <f t="shared" ref="M29:M41" si="6">IF(COUNTBLANK(E29:I29)&gt;0,"",IF(COUNTIF(E29:I29,"DNF")+COUNTIF(E29:I29,"DNS")&gt;1,"DNF",ROUND(IF(COUNTIF(E29:I29,"DNF")+COUNTIF(E29:I29,"DNS")&gt;0,(SUM(E29:I29)-J29)/3,(SUM(E29:I29)-J29-L29)/3),2)))</f>
        <v/>
      </c>
      <c r="N29" s="25"/>
      <c r="O29" s="31">
        <f t="shared" si="4"/>
        <v>0</v>
      </c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 ht="12.75" customHeight="1">
      <c r="A30" s="55">
        <v>27.0</v>
      </c>
      <c r="B30" s="36"/>
      <c r="C30" s="28"/>
      <c r="D30" s="28"/>
      <c r="E30" s="30"/>
      <c r="F30" s="30"/>
      <c r="G30" s="30"/>
      <c r="H30" s="30"/>
      <c r="I30" s="30"/>
      <c r="J30" s="30" t="str">
        <f t="shared" si="5"/>
        <v/>
      </c>
      <c r="K30" s="30"/>
      <c r="L30" s="30" t="str">
        <f t="shared" si="2"/>
        <v/>
      </c>
      <c r="M30" s="30" t="str">
        <f t="shared" si="6"/>
        <v/>
      </c>
      <c r="N30" s="25"/>
      <c r="O30" s="31">
        <f t="shared" si="4"/>
        <v>0</v>
      </c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 ht="12.75" customHeight="1">
      <c r="A31" s="55">
        <v>28.0</v>
      </c>
      <c r="B31" s="36"/>
      <c r="C31" s="28"/>
      <c r="D31" s="28"/>
      <c r="E31" s="30"/>
      <c r="F31" s="30"/>
      <c r="G31" s="30"/>
      <c r="H31" s="30"/>
      <c r="I31" s="30"/>
      <c r="J31" s="30" t="str">
        <f t="shared" si="5"/>
        <v/>
      </c>
      <c r="K31" s="30"/>
      <c r="L31" s="30" t="str">
        <f t="shared" si="2"/>
        <v/>
      </c>
      <c r="M31" s="30" t="str">
        <f t="shared" si="6"/>
        <v/>
      </c>
      <c r="N31" s="25"/>
      <c r="O31" s="31">
        <f t="shared" si="4"/>
        <v>0</v>
      </c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 ht="12.75" customHeight="1">
      <c r="A32" s="55">
        <v>29.0</v>
      </c>
      <c r="B32" s="36"/>
      <c r="C32" s="28"/>
      <c r="D32" s="28"/>
      <c r="E32" s="30"/>
      <c r="F32" s="30"/>
      <c r="G32" s="30"/>
      <c r="H32" s="30"/>
      <c r="I32" s="30"/>
      <c r="J32" s="30" t="str">
        <f t="shared" si="5"/>
        <v/>
      </c>
      <c r="K32" s="30"/>
      <c r="L32" s="30" t="str">
        <f t="shared" si="2"/>
        <v/>
      </c>
      <c r="M32" s="30" t="str">
        <f t="shared" si="6"/>
        <v/>
      </c>
      <c r="N32" s="25"/>
      <c r="O32" s="31">
        <f t="shared" si="4"/>
        <v>0</v>
      </c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 ht="12.75" customHeight="1">
      <c r="A33" s="55">
        <v>30.0</v>
      </c>
      <c r="B33" s="36"/>
      <c r="C33" s="28"/>
      <c r="D33" s="28"/>
      <c r="E33" s="30"/>
      <c r="F33" s="30"/>
      <c r="G33" s="30"/>
      <c r="H33" s="30"/>
      <c r="I33" s="30"/>
      <c r="J33" s="30" t="str">
        <f t="shared" si="5"/>
        <v/>
      </c>
      <c r="K33" s="30"/>
      <c r="L33" s="30" t="str">
        <f t="shared" si="2"/>
        <v/>
      </c>
      <c r="M33" s="30" t="str">
        <f t="shared" si="6"/>
        <v/>
      </c>
      <c r="N33" s="25"/>
      <c r="O33" s="31">
        <f t="shared" si="4"/>
        <v>0</v>
      </c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ht="12.75" customHeight="1">
      <c r="A34" s="55">
        <v>31.0</v>
      </c>
      <c r="B34" s="36"/>
      <c r="C34" s="28"/>
      <c r="D34" s="28"/>
      <c r="E34" s="30"/>
      <c r="F34" s="30"/>
      <c r="G34" s="30"/>
      <c r="H34" s="30"/>
      <c r="I34" s="30"/>
      <c r="J34" s="30" t="str">
        <f t="shared" si="5"/>
        <v/>
      </c>
      <c r="K34" s="30"/>
      <c r="L34" s="30" t="str">
        <f t="shared" si="2"/>
        <v/>
      </c>
      <c r="M34" s="30" t="str">
        <f t="shared" si="6"/>
        <v/>
      </c>
      <c r="N34" s="25"/>
      <c r="O34" s="31">
        <f t="shared" si="4"/>
        <v>0</v>
      </c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 ht="12.75" customHeight="1">
      <c r="A35" s="55">
        <v>32.0</v>
      </c>
      <c r="B35" s="36"/>
      <c r="C35" s="28"/>
      <c r="D35" s="28"/>
      <c r="E35" s="30"/>
      <c r="F35" s="30"/>
      <c r="G35" s="30"/>
      <c r="H35" s="30"/>
      <c r="I35" s="30"/>
      <c r="J35" s="30" t="str">
        <f t="shared" si="5"/>
        <v/>
      </c>
      <c r="K35" s="30"/>
      <c r="L35" s="30" t="str">
        <f t="shared" si="2"/>
        <v/>
      </c>
      <c r="M35" s="30" t="str">
        <f t="shared" si="6"/>
        <v/>
      </c>
      <c r="N35" s="25"/>
      <c r="O35" s="31">
        <f t="shared" si="4"/>
        <v>0</v>
      </c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 ht="12.75" customHeight="1">
      <c r="A36" s="55">
        <v>33.0</v>
      </c>
      <c r="B36" s="36"/>
      <c r="C36" s="28"/>
      <c r="D36" s="28"/>
      <c r="E36" s="30"/>
      <c r="F36" s="30"/>
      <c r="G36" s="30"/>
      <c r="H36" s="30"/>
      <c r="I36" s="30"/>
      <c r="J36" s="30" t="str">
        <f t="shared" si="5"/>
        <v/>
      </c>
      <c r="K36" s="30"/>
      <c r="L36" s="30" t="str">
        <f t="shared" si="2"/>
        <v/>
      </c>
      <c r="M36" s="30" t="str">
        <f t="shared" si="6"/>
        <v/>
      </c>
      <c r="N36" s="25"/>
      <c r="O36" s="31">
        <f t="shared" si="4"/>
        <v>0</v>
      </c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 ht="12.75" customHeight="1">
      <c r="A37" s="55">
        <v>34.0</v>
      </c>
      <c r="B37" s="36"/>
      <c r="C37" s="28"/>
      <c r="D37" s="28"/>
      <c r="E37" s="30"/>
      <c r="F37" s="30"/>
      <c r="G37" s="30"/>
      <c r="H37" s="30"/>
      <c r="I37" s="30"/>
      <c r="J37" s="30" t="str">
        <f t="shared" si="5"/>
        <v/>
      </c>
      <c r="K37" s="30"/>
      <c r="L37" s="30" t="str">
        <f t="shared" si="2"/>
        <v/>
      </c>
      <c r="M37" s="30" t="str">
        <f t="shared" si="6"/>
        <v/>
      </c>
      <c r="N37" s="25"/>
      <c r="O37" s="31">
        <f t="shared" si="4"/>
        <v>0</v>
      </c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ht="12.75" customHeight="1">
      <c r="A38" s="55">
        <v>35.0</v>
      </c>
      <c r="B38" s="36"/>
      <c r="C38" s="28"/>
      <c r="D38" s="28"/>
      <c r="E38" s="30"/>
      <c r="F38" s="30"/>
      <c r="G38" s="30"/>
      <c r="H38" s="30"/>
      <c r="I38" s="30"/>
      <c r="J38" s="30" t="str">
        <f t="shared" si="5"/>
        <v/>
      </c>
      <c r="K38" s="30"/>
      <c r="L38" s="30" t="str">
        <f t="shared" si="2"/>
        <v/>
      </c>
      <c r="M38" s="30" t="str">
        <f t="shared" si="6"/>
        <v/>
      </c>
      <c r="N38" s="25"/>
      <c r="O38" s="31">
        <f t="shared" si="4"/>
        <v>0</v>
      </c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 ht="12.75" customHeight="1">
      <c r="A39" s="55">
        <v>36.0</v>
      </c>
      <c r="B39" s="36"/>
      <c r="C39" s="28"/>
      <c r="D39" s="28"/>
      <c r="E39" s="30"/>
      <c r="F39" s="30"/>
      <c r="G39" s="30"/>
      <c r="H39" s="30"/>
      <c r="I39" s="30"/>
      <c r="J39" s="30" t="str">
        <f t="shared" si="5"/>
        <v/>
      </c>
      <c r="K39" s="30"/>
      <c r="L39" s="30" t="str">
        <f t="shared" si="2"/>
        <v/>
      </c>
      <c r="M39" s="30" t="str">
        <f t="shared" si="6"/>
        <v/>
      </c>
      <c r="N39" s="25"/>
      <c r="O39" s="31">
        <f t="shared" si="4"/>
        <v>0</v>
      </c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 ht="12.75" customHeight="1">
      <c r="A40" s="55">
        <v>37.0</v>
      </c>
      <c r="B40" s="36"/>
      <c r="C40" s="28"/>
      <c r="D40" s="28"/>
      <c r="E40" s="30"/>
      <c r="F40" s="30"/>
      <c r="G40" s="30"/>
      <c r="H40" s="30"/>
      <c r="I40" s="30"/>
      <c r="J40" s="30" t="str">
        <f t="shared" si="5"/>
        <v/>
      </c>
      <c r="K40" s="30"/>
      <c r="L40" s="30" t="str">
        <f t="shared" si="2"/>
        <v/>
      </c>
      <c r="M40" s="30" t="str">
        <f t="shared" si="6"/>
        <v/>
      </c>
      <c r="N40" s="25"/>
      <c r="O40" s="31">
        <f t="shared" si="4"/>
        <v>0</v>
      </c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 ht="12.75" customHeight="1">
      <c r="A41" s="55">
        <f>IF(AND(M40=M41,J40=J41),A40,ROW()-4)</f>
        <v>37</v>
      </c>
      <c r="B41" s="36"/>
      <c r="C41" s="28"/>
      <c r="D41" s="28"/>
      <c r="E41" s="30"/>
      <c r="F41" s="30"/>
      <c r="G41" s="30"/>
      <c r="H41" s="30"/>
      <c r="I41" s="30"/>
      <c r="J41" s="30" t="str">
        <f t="shared" si="5"/>
        <v/>
      </c>
      <c r="K41" s="30"/>
      <c r="L41" s="30" t="str">
        <f t="shared" si="2"/>
        <v/>
      </c>
      <c r="M41" s="30" t="str">
        <f t="shared" si="6"/>
        <v/>
      </c>
      <c r="N41" s="25"/>
      <c r="O41" s="31">
        <f t="shared" si="4"/>
        <v>0</v>
      </c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 ht="12.75" customHeight="1">
      <c r="A42" s="55">
        <v>15.0</v>
      </c>
      <c r="B42" s="36"/>
      <c r="E42" s="44"/>
      <c r="F42" s="44"/>
      <c r="G42" s="44"/>
      <c r="H42" s="44"/>
      <c r="I42" s="44"/>
      <c r="J42" s="44" t="str">
        <f t="shared" si="5"/>
        <v/>
      </c>
      <c r="K42" s="45"/>
      <c r="L42" s="44" t="str">
        <f t="shared" si="2"/>
        <v/>
      </c>
      <c r="M42" s="44" t="str">
        <f>IF(COUNTBLANK(E42:I42)&gt;0,"",IF(COUNTIF(E42:I42,"DNF")+COUNTIF(E42:I42,"DNS")&gt;1,"DNF",IF(COUNTIF(E42:I42,"DNF")+COUNTIF(E42:I42,"DNS")&gt;0,(SUM(E42:I42)-J42)/3,(SUM(E42:I42)-J42-L42)/3)))</f>
        <v/>
      </c>
      <c r="N42" s="25"/>
      <c r="O42" s="31">
        <f t="shared" si="4"/>
        <v>0</v>
      </c>
    </row>
    <row r="43" ht="12.75" customHeight="1">
      <c r="E43" s="35"/>
      <c r="F43" s="35"/>
      <c r="G43" s="35"/>
      <c r="H43" s="35"/>
      <c r="I43" s="35"/>
      <c r="J43" s="35" t="str">
        <f t="shared" si="5"/>
        <v/>
      </c>
      <c r="K43" s="35"/>
      <c r="L43" s="35" t="str">
        <f t="shared" si="2"/>
        <v/>
      </c>
      <c r="M43" s="35" t="str">
        <f>IF(COUNTBLANK(E43:I43)&gt;0,"",IF(COUNTIF(E43:I43,"DNF")+COUNTIF(E43:I43,"DNS")&gt;1,"DNF",ROUND(IF(COUNTIF(E43:I43,"DNF")+COUNTIF(E43:I43,"DNS")&gt;0,(SUM(E43:I43)-J43)/3,(SUM(E43:I43)-J43-L43)/3),2)))</f>
        <v/>
      </c>
      <c r="N43" s="25"/>
      <c r="O43" s="31">
        <f t="shared" si="4"/>
        <v>0</v>
      </c>
    </row>
    <row r="44" ht="12.75" customHeight="1">
      <c r="E44" s="40"/>
      <c r="F44" s="40"/>
      <c r="G44" s="40"/>
      <c r="H44" s="40"/>
      <c r="I44" s="40"/>
      <c r="J44" s="40"/>
      <c r="K44" s="40"/>
      <c r="L44" s="40"/>
      <c r="M44" s="40"/>
    </row>
    <row r="45" ht="12.75" customHeight="1">
      <c r="E45" s="40"/>
      <c r="F45" s="40"/>
      <c r="G45" s="40"/>
      <c r="H45" s="40"/>
      <c r="I45" s="40"/>
      <c r="J45" s="40"/>
      <c r="K45" s="40"/>
      <c r="L45" s="40"/>
      <c r="M45" s="40"/>
    </row>
    <row r="46" ht="12.75" customHeight="1">
      <c r="E46" s="40"/>
      <c r="F46" s="40"/>
      <c r="G46" s="40"/>
      <c r="H46" s="40"/>
      <c r="I46" s="40"/>
      <c r="J46" s="40"/>
      <c r="K46" s="40"/>
      <c r="L46" s="40"/>
      <c r="M46" s="40"/>
    </row>
    <row r="47" ht="12.75" customHeight="1">
      <c r="E47" s="40"/>
      <c r="F47" s="40"/>
      <c r="G47" s="40"/>
      <c r="H47" s="40"/>
      <c r="I47" s="40"/>
      <c r="J47" s="40"/>
      <c r="K47" s="40"/>
      <c r="L47" s="40"/>
      <c r="M47" s="40"/>
    </row>
    <row r="48" ht="12.75" customHeight="1">
      <c r="E48" s="40"/>
      <c r="F48" s="40"/>
      <c r="G48" s="40"/>
      <c r="H48" s="40"/>
      <c r="I48" s="40"/>
      <c r="J48" s="40"/>
      <c r="K48" s="40"/>
      <c r="L48" s="40"/>
      <c r="M48" s="40"/>
    </row>
    <row r="49" ht="12.75" customHeight="1">
      <c r="E49" s="40"/>
      <c r="F49" s="40"/>
      <c r="G49" s="40"/>
      <c r="H49" s="40"/>
      <c r="I49" s="40"/>
      <c r="J49" s="40"/>
      <c r="K49" s="40"/>
      <c r="L49" s="40"/>
      <c r="M49" s="40"/>
    </row>
    <row r="50" ht="12.75" customHeight="1">
      <c r="E50" s="40"/>
      <c r="F50" s="40"/>
      <c r="G50" s="40"/>
      <c r="H50" s="40"/>
      <c r="I50" s="40"/>
      <c r="J50" s="40"/>
      <c r="K50" s="40"/>
      <c r="L50" s="40"/>
      <c r="M50" s="40"/>
    </row>
    <row r="51" ht="12.75" customHeight="1">
      <c r="E51" s="40"/>
      <c r="F51" s="40"/>
      <c r="G51" s="40"/>
      <c r="H51" s="40"/>
      <c r="I51" s="40"/>
      <c r="J51" s="40"/>
      <c r="K51" s="40"/>
      <c r="L51" s="40"/>
      <c r="M51" s="40"/>
    </row>
    <row r="52" ht="12.75" customHeight="1">
      <c r="E52" s="40"/>
      <c r="F52" s="40"/>
      <c r="G52" s="40"/>
      <c r="H52" s="40"/>
      <c r="I52" s="40"/>
      <c r="J52" s="40"/>
      <c r="K52" s="40"/>
      <c r="L52" s="40"/>
      <c r="M52" s="40"/>
    </row>
    <row r="53" ht="12.75" customHeight="1">
      <c r="E53" s="40"/>
      <c r="F53" s="40"/>
      <c r="G53" s="40"/>
      <c r="H53" s="40"/>
      <c r="I53" s="40"/>
      <c r="J53" s="40"/>
      <c r="K53" s="40"/>
      <c r="L53" s="40"/>
      <c r="M53" s="40"/>
    </row>
    <row r="54" ht="12.75" customHeight="1">
      <c r="E54" s="40"/>
      <c r="F54" s="40"/>
      <c r="G54" s="40"/>
      <c r="H54" s="40"/>
      <c r="I54" s="40"/>
      <c r="J54" s="40"/>
      <c r="K54" s="40"/>
      <c r="L54" s="40"/>
      <c r="M54" s="40"/>
    </row>
    <row r="55" ht="12.75" customHeight="1">
      <c r="E55" s="40"/>
      <c r="F55" s="40"/>
      <c r="G55" s="40"/>
      <c r="H55" s="40"/>
      <c r="I55" s="40"/>
      <c r="J55" s="40"/>
      <c r="K55" s="40"/>
      <c r="L55" s="40"/>
      <c r="M55" s="40"/>
    </row>
    <row r="56" ht="12.75" customHeight="1">
      <c r="E56" s="40"/>
      <c r="F56" s="40"/>
      <c r="G56" s="40"/>
      <c r="H56" s="40"/>
      <c r="I56" s="40"/>
      <c r="J56" s="40"/>
      <c r="K56" s="40"/>
      <c r="L56" s="40"/>
      <c r="M56" s="40"/>
    </row>
    <row r="57" ht="12.75" customHeight="1">
      <c r="E57" s="40"/>
      <c r="F57" s="40"/>
      <c r="G57" s="40"/>
      <c r="H57" s="40"/>
      <c r="I57" s="40"/>
      <c r="J57" s="40"/>
      <c r="K57" s="40"/>
      <c r="L57" s="40"/>
      <c r="M57" s="40"/>
    </row>
    <row r="58" ht="12.75" customHeight="1">
      <c r="E58" s="40"/>
      <c r="F58" s="40"/>
      <c r="G58" s="40"/>
      <c r="H58" s="40"/>
      <c r="I58" s="40"/>
      <c r="J58" s="40"/>
      <c r="K58" s="40"/>
      <c r="L58" s="40"/>
      <c r="M58" s="40"/>
    </row>
    <row r="59" ht="12.75" customHeight="1">
      <c r="E59" s="40"/>
      <c r="F59" s="40"/>
      <c r="G59" s="40"/>
      <c r="H59" s="40"/>
      <c r="I59" s="40"/>
      <c r="J59" s="40"/>
      <c r="K59" s="40"/>
      <c r="L59" s="40"/>
      <c r="M59" s="40"/>
    </row>
    <row r="60" ht="12.75" customHeight="1">
      <c r="E60" s="40"/>
      <c r="F60" s="40"/>
      <c r="G60" s="40"/>
      <c r="H60" s="40"/>
      <c r="I60" s="40"/>
      <c r="J60" s="40"/>
      <c r="K60" s="40"/>
      <c r="L60" s="40"/>
      <c r="M60" s="40"/>
    </row>
    <row r="61" ht="12.75" customHeight="1">
      <c r="E61" s="40"/>
      <c r="F61" s="40"/>
      <c r="G61" s="40"/>
      <c r="H61" s="40"/>
      <c r="I61" s="40"/>
      <c r="J61" s="40"/>
      <c r="K61" s="40"/>
      <c r="L61" s="40"/>
      <c r="M61" s="40"/>
    </row>
    <row r="62" ht="12.75" customHeight="1">
      <c r="E62" s="40"/>
      <c r="F62" s="40"/>
      <c r="G62" s="40"/>
      <c r="H62" s="40"/>
      <c r="I62" s="40"/>
      <c r="J62" s="40"/>
      <c r="K62" s="40"/>
      <c r="L62" s="40"/>
      <c r="M62" s="40"/>
    </row>
    <row r="63" ht="12.75" customHeight="1">
      <c r="E63" s="40"/>
      <c r="F63" s="40"/>
      <c r="G63" s="40"/>
      <c r="H63" s="40"/>
      <c r="I63" s="40"/>
      <c r="J63" s="40"/>
      <c r="K63" s="40"/>
      <c r="L63" s="40"/>
      <c r="M63" s="40"/>
    </row>
    <row r="64" ht="12.75" customHeight="1">
      <c r="E64" s="40"/>
      <c r="F64" s="40"/>
      <c r="G64" s="40"/>
      <c r="H64" s="40"/>
      <c r="I64" s="40"/>
      <c r="J64" s="40"/>
      <c r="K64" s="40"/>
      <c r="L64" s="40"/>
      <c r="M64" s="40"/>
    </row>
    <row r="65" ht="12.75" customHeight="1">
      <c r="E65" s="40"/>
      <c r="F65" s="40"/>
      <c r="G65" s="40"/>
      <c r="H65" s="40"/>
      <c r="I65" s="40"/>
      <c r="J65" s="40"/>
      <c r="K65" s="40"/>
      <c r="L65" s="40"/>
      <c r="M65" s="40"/>
    </row>
    <row r="66" ht="12.75" customHeight="1">
      <c r="E66" s="40"/>
      <c r="F66" s="40"/>
      <c r="G66" s="40"/>
      <c r="H66" s="40"/>
      <c r="I66" s="40"/>
      <c r="J66" s="40"/>
      <c r="K66" s="40"/>
      <c r="L66" s="40"/>
      <c r="M66" s="40"/>
    </row>
    <row r="67" ht="12.75" customHeight="1">
      <c r="E67" s="40"/>
      <c r="F67" s="40"/>
      <c r="G67" s="40"/>
      <c r="H67" s="40"/>
      <c r="I67" s="40"/>
      <c r="J67" s="40"/>
      <c r="K67" s="40"/>
      <c r="L67" s="40"/>
      <c r="M67" s="40"/>
    </row>
    <row r="68" ht="12.75" customHeight="1">
      <c r="E68" s="40"/>
      <c r="F68" s="40"/>
      <c r="G68" s="40"/>
      <c r="H68" s="40"/>
      <c r="I68" s="40"/>
      <c r="J68" s="40"/>
      <c r="K68" s="40"/>
      <c r="L68" s="40"/>
      <c r="M68" s="40"/>
    </row>
    <row r="69" ht="12.75" customHeight="1">
      <c r="E69" s="40"/>
      <c r="F69" s="40"/>
      <c r="G69" s="40"/>
      <c r="H69" s="40"/>
      <c r="I69" s="40"/>
      <c r="J69" s="40"/>
      <c r="K69" s="40"/>
      <c r="L69" s="40"/>
      <c r="M69" s="40"/>
    </row>
    <row r="70" ht="12.75" customHeight="1">
      <c r="E70" s="40"/>
      <c r="F70" s="40"/>
      <c r="G70" s="40"/>
      <c r="H70" s="40"/>
      <c r="I70" s="40"/>
      <c r="J70" s="40"/>
      <c r="K70" s="40"/>
      <c r="L70" s="40"/>
      <c r="M70" s="40"/>
    </row>
    <row r="71" ht="12.75" customHeight="1">
      <c r="E71" s="40"/>
      <c r="F71" s="40"/>
      <c r="G71" s="40"/>
      <c r="H71" s="40"/>
      <c r="I71" s="40"/>
      <c r="J71" s="40"/>
      <c r="K71" s="40"/>
      <c r="L71" s="40"/>
      <c r="M71" s="40"/>
    </row>
    <row r="72" ht="12.75" customHeight="1">
      <c r="E72" s="40"/>
      <c r="F72" s="40"/>
      <c r="G72" s="40"/>
      <c r="H72" s="40"/>
      <c r="I72" s="40"/>
      <c r="J72" s="40"/>
      <c r="K72" s="40"/>
      <c r="L72" s="40"/>
      <c r="M72" s="40"/>
    </row>
    <row r="73" ht="12.75" customHeight="1">
      <c r="E73" s="40"/>
      <c r="F73" s="40"/>
      <c r="G73" s="40"/>
      <c r="H73" s="40"/>
      <c r="I73" s="40"/>
      <c r="J73" s="40"/>
      <c r="K73" s="40"/>
      <c r="L73" s="40"/>
      <c r="M73" s="40"/>
    </row>
    <row r="74" ht="12.75" customHeight="1">
      <c r="E74" s="40"/>
      <c r="F74" s="40"/>
      <c r="G74" s="40"/>
      <c r="H74" s="40"/>
      <c r="I74" s="40"/>
      <c r="J74" s="40"/>
      <c r="K74" s="40"/>
      <c r="L74" s="40"/>
      <c r="M74" s="40"/>
    </row>
    <row r="75" ht="12.75" customHeight="1">
      <c r="E75" s="40"/>
      <c r="F75" s="40"/>
      <c r="G75" s="40"/>
      <c r="H75" s="40"/>
      <c r="I75" s="40"/>
      <c r="J75" s="40"/>
      <c r="K75" s="40"/>
      <c r="L75" s="40"/>
      <c r="M75" s="40"/>
    </row>
    <row r="76" ht="12.75" customHeight="1">
      <c r="E76" s="40"/>
      <c r="F76" s="40"/>
      <c r="G76" s="40"/>
      <c r="H76" s="40"/>
      <c r="I76" s="40"/>
      <c r="J76" s="40"/>
      <c r="K76" s="40"/>
      <c r="L76" s="40"/>
      <c r="M76" s="40"/>
    </row>
    <row r="77" ht="12.75" customHeight="1">
      <c r="E77" s="40"/>
      <c r="F77" s="40"/>
      <c r="G77" s="40"/>
      <c r="H77" s="40"/>
      <c r="I77" s="40"/>
      <c r="J77" s="40"/>
      <c r="K77" s="40"/>
      <c r="L77" s="40"/>
      <c r="M77" s="40"/>
    </row>
    <row r="78" ht="12.75" customHeight="1">
      <c r="E78" s="40"/>
      <c r="F78" s="40"/>
      <c r="G78" s="40"/>
      <c r="H78" s="40"/>
      <c r="I78" s="40"/>
      <c r="J78" s="40"/>
      <c r="K78" s="40"/>
      <c r="L78" s="40"/>
      <c r="M78" s="40"/>
    </row>
    <row r="79" ht="12.75" customHeight="1">
      <c r="E79" s="40"/>
      <c r="F79" s="40"/>
      <c r="G79" s="40"/>
      <c r="H79" s="40"/>
      <c r="I79" s="40"/>
      <c r="J79" s="40"/>
      <c r="K79" s="40"/>
      <c r="L79" s="40"/>
      <c r="M79" s="40"/>
    </row>
    <row r="80" ht="12.75" customHeight="1">
      <c r="E80" s="40"/>
      <c r="F80" s="40"/>
      <c r="G80" s="40"/>
      <c r="H80" s="40"/>
      <c r="I80" s="40"/>
      <c r="J80" s="40"/>
      <c r="K80" s="40"/>
      <c r="L80" s="40"/>
      <c r="M80" s="40"/>
    </row>
    <row r="81" ht="12.75" customHeight="1">
      <c r="E81" s="40"/>
      <c r="F81" s="40"/>
      <c r="G81" s="40"/>
      <c r="H81" s="40"/>
      <c r="I81" s="40"/>
      <c r="J81" s="40"/>
      <c r="K81" s="40"/>
      <c r="L81" s="40"/>
      <c r="M81" s="40"/>
    </row>
    <row r="82" ht="12.75" customHeight="1">
      <c r="E82" s="40"/>
      <c r="F82" s="40"/>
      <c r="G82" s="40"/>
      <c r="H82" s="40"/>
      <c r="I82" s="40"/>
      <c r="J82" s="40"/>
      <c r="K82" s="40"/>
      <c r="L82" s="40"/>
      <c r="M82" s="40"/>
    </row>
    <row r="83" ht="12.75" customHeight="1">
      <c r="E83" s="40"/>
      <c r="F83" s="40"/>
      <c r="G83" s="40"/>
      <c r="H83" s="40"/>
      <c r="I83" s="40"/>
      <c r="J83" s="40"/>
      <c r="K83" s="40"/>
      <c r="L83" s="40"/>
      <c r="M83" s="40"/>
    </row>
    <row r="84" ht="12.75" customHeight="1">
      <c r="E84" s="40"/>
      <c r="F84" s="40"/>
      <c r="G84" s="40"/>
      <c r="H84" s="40"/>
      <c r="I84" s="40"/>
      <c r="J84" s="40"/>
      <c r="K84" s="40"/>
      <c r="L84" s="40"/>
      <c r="M84" s="40"/>
    </row>
    <row r="85" ht="12.75" customHeight="1">
      <c r="E85" s="40"/>
      <c r="F85" s="40"/>
      <c r="G85" s="40"/>
      <c r="H85" s="40"/>
      <c r="I85" s="40"/>
      <c r="J85" s="40"/>
      <c r="K85" s="40"/>
      <c r="L85" s="40"/>
      <c r="M85" s="40"/>
    </row>
    <row r="86" ht="12.75" customHeight="1">
      <c r="E86" s="40"/>
      <c r="F86" s="40"/>
      <c r="G86" s="40"/>
      <c r="H86" s="40"/>
      <c r="I86" s="40"/>
      <c r="J86" s="40"/>
      <c r="K86" s="40"/>
      <c r="L86" s="40"/>
      <c r="M86" s="40"/>
    </row>
    <row r="87" ht="12.75" customHeight="1">
      <c r="E87" s="40"/>
      <c r="F87" s="40"/>
      <c r="G87" s="40"/>
      <c r="H87" s="40"/>
      <c r="I87" s="40"/>
      <c r="J87" s="40"/>
      <c r="K87" s="40"/>
      <c r="L87" s="40"/>
      <c r="M87" s="40"/>
    </row>
    <row r="88" ht="12.75" customHeight="1">
      <c r="E88" s="40"/>
      <c r="F88" s="40"/>
      <c r="G88" s="40"/>
      <c r="H88" s="40"/>
      <c r="I88" s="40"/>
      <c r="J88" s="40"/>
      <c r="K88" s="40"/>
      <c r="L88" s="40"/>
      <c r="M88" s="40"/>
    </row>
    <row r="89" ht="12.75" customHeight="1">
      <c r="E89" s="40"/>
      <c r="F89" s="40"/>
      <c r="G89" s="40"/>
      <c r="H89" s="40"/>
      <c r="I89" s="40"/>
      <c r="J89" s="40"/>
      <c r="K89" s="40"/>
      <c r="L89" s="40"/>
      <c r="M89" s="40"/>
    </row>
    <row r="90" ht="12.75" customHeight="1">
      <c r="E90" s="40"/>
      <c r="F90" s="40"/>
      <c r="G90" s="40"/>
      <c r="H90" s="40"/>
      <c r="I90" s="40"/>
      <c r="J90" s="40"/>
      <c r="K90" s="40"/>
      <c r="L90" s="40"/>
      <c r="M90" s="40"/>
    </row>
    <row r="91" ht="12.75" customHeight="1">
      <c r="E91" s="40"/>
      <c r="F91" s="40"/>
      <c r="G91" s="40"/>
      <c r="H91" s="40"/>
      <c r="I91" s="40"/>
      <c r="J91" s="40"/>
      <c r="K91" s="40"/>
      <c r="L91" s="40"/>
      <c r="M91" s="40"/>
    </row>
    <row r="92" ht="12.75" customHeight="1">
      <c r="E92" s="40"/>
      <c r="F92" s="40"/>
      <c r="G92" s="40"/>
      <c r="H92" s="40"/>
      <c r="I92" s="40"/>
      <c r="J92" s="40"/>
      <c r="K92" s="40"/>
      <c r="L92" s="40"/>
      <c r="M92" s="40"/>
    </row>
    <row r="93" ht="12.75" customHeight="1">
      <c r="E93" s="40"/>
      <c r="F93" s="40"/>
      <c r="G93" s="40"/>
      <c r="H93" s="40"/>
      <c r="I93" s="40"/>
      <c r="J93" s="40"/>
      <c r="K93" s="40"/>
      <c r="L93" s="40"/>
      <c r="M93" s="40"/>
    </row>
    <row r="94" ht="12.75" customHeight="1">
      <c r="E94" s="40"/>
      <c r="F94" s="40"/>
      <c r="G94" s="40"/>
      <c r="H94" s="40"/>
      <c r="I94" s="40"/>
      <c r="J94" s="40"/>
      <c r="K94" s="40"/>
      <c r="L94" s="40"/>
      <c r="M94" s="40"/>
    </row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</sheetData>
  <printOptions/>
  <pageMargins bottom="1.0" footer="0.0" header="0.0" left="0.75" right="0.75" top="1.0"/>
  <pageSetup paperSize="9"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5.38"/>
    <col customWidth="1" min="2" max="2" width="42.63"/>
    <col customWidth="1" hidden="1" min="3" max="3" width="14.13"/>
    <col customWidth="1" hidden="1" min="4" max="4" width="12.13"/>
    <col customWidth="1" hidden="1" min="5" max="5" width="14.13"/>
    <col customWidth="1" hidden="1" min="6" max="7" width="10.63"/>
    <col customWidth="1" hidden="1" min="8" max="8" width="9.88"/>
    <col customWidth="1" hidden="1" min="9" max="9" width="11.88"/>
    <col customWidth="1" hidden="1" min="10" max="10" width="14.0"/>
    <col customWidth="1" hidden="1" min="11" max="11" width="8.13"/>
    <col customWidth="1" hidden="1" min="12" max="12" width="16.13"/>
    <col customWidth="1" min="13" max="13" width="13.63"/>
    <col customWidth="1" hidden="1" min="14" max="14" width="6.88"/>
    <col customWidth="1" min="15" max="15" width="25.38"/>
    <col customWidth="1" min="16" max="26" width="9.13"/>
  </cols>
  <sheetData>
    <row r="1" ht="12.75" customHeight="1">
      <c r="A1" s="78" t="s">
        <v>151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 ht="12.75" customHeight="1">
      <c r="A2" s="19" t="s">
        <v>28</v>
      </c>
      <c r="B2" s="19"/>
      <c r="C2" s="19"/>
      <c r="D2" s="19"/>
      <c r="E2" s="19"/>
      <c r="F2" s="20"/>
      <c r="K2" s="19"/>
      <c r="L2" s="19"/>
    </row>
    <row r="3" ht="12.75" customHeight="1">
      <c r="A3" s="19" t="s">
        <v>29</v>
      </c>
      <c r="B3" s="19"/>
      <c r="K3" s="19"/>
      <c r="L3" s="19"/>
    </row>
    <row r="4" ht="12.75" customHeight="1">
      <c r="A4" s="21" t="s">
        <v>30</v>
      </c>
      <c r="B4" s="21" t="s">
        <v>3</v>
      </c>
      <c r="C4" s="21" t="s">
        <v>4</v>
      </c>
      <c r="D4" s="21" t="s">
        <v>5</v>
      </c>
      <c r="E4" s="22">
        <v>1.0</v>
      </c>
      <c r="F4" s="22">
        <v>2.0</v>
      </c>
      <c r="G4" s="22">
        <v>3.0</v>
      </c>
      <c r="H4" s="22">
        <v>4.0</v>
      </c>
      <c r="I4" s="22">
        <v>5.0</v>
      </c>
      <c r="J4" s="22" t="s">
        <v>31</v>
      </c>
      <c r="K4" s="23" t="s">
        <v>32</v>
      </c>
      <c r="L4" s="22" t="s">
        <v>33</v>
      </c>
      <c r="M4" s="22" t="s">
        <v>34</v>
      </c>
      <c r="N4" s="18" t="s">
        <v>32</v>
      </c>
      <c r="O4" s="24" t="s">
        <v>35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 ht="12.75" customHeight="1">
      <c r="A5" s="80">
        <v>1.0</v>
      </c>
      <c r="B5" s="27" t="s">
        <v>36</v>
      </c>
      <c r="C5" s="28"/>
      <c r="D5" s="28"/>
      <c r="E5" s="29">
        <v>5.69</v>
      </c>
      <c r="F5" s="29">
        <v>4.48</v>
      </c>
      <c r="G5" s="29">
        <v>6.15</v>
      </c>
      <c r="H5" s="29">
        <v>5.34</v>
      </c>
      <c r="I5" s="29">
        <v>6.88</v>
      </c>
      <c r="J5" s="30">
        <f t="shared" ref="J5:J26" si="1">IF(MIN(E5:I5)&gt;0,MIN(E5:I5),IF(COUNTBLANK(E5:I5)=5,"","DNF"))</f>
        <v>4.48</v>
      </c>
      <c r="K5" s="30"/>
      <c r="L5" s="30">
        <f t="shared" ref="L5:L43" si="2">IF(COUNTBLANK(E5:I5)&gt;0,"",IF(COUNTIF(E5:I5,"DNF")+COUNTIF(E5:I5,"DNS")&gt;0,"DNF",MAX(E5:I5)))</f>
        <v>6.88</v>
      </c>
      <c r="M5" s="30">
        <f t="shared" ref="M5:M27" si="3">IF(COUNTBLANK(E5:I5)&gt;0,"",IF(COUNTIF(E5:I5,"DNF")+COUNTIF(E5:I5,"DNS")&gt;1,"DNF",ROUND(IF(COUNTIF(E5:I5,"DNF")+COUNTIF(E5:I5,"DNS")&gt;0,(SUM(E5:I5)-J5)/3,(SUM(E5:I5)-J5-L5)/3),2)))</f>
        <v>5.73</v>
      </c>
      <c r="N5" s="25"/>
      <c r="O5" s="31">
        <f t="shared" ref="O5:O43" si="4">M5/86400</f>
        <v>0.00006631944444</v>
      </c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</row>
    <row r="6" ht="12.75" customHeight="1">
      <c r="A6" s="80">
        <v>2.0</v>
      </c>
      <c r="B6" s="27" t="s">
        <v>53</v>
      </c>
      <c r="C6" s="28"/>
      <c r="D6" s="28"/>
      <c r="E6" s="29">
        <v>6.98</v>
      </c>
      <c r="F6" s="29">
        <v>5.7</v>
      </c>
      <c r="G6" s="29">
        <v>5.32</v>
      </c>
      <c r="H6" s="29">
        <v>5.27</v>
      </c>
      <c r="I6" s="29">
        <v>7.07</v>
      </c>
      <c r="J6" s="30">
        <f t="shared" si="1"/>
        <v>5.27</v>
      </c>
      <c r="K6" s="30"/>
      <c r="L6" s="30">
        <f t="shared" si="2"/>
        <v>7.07</v>
      </c>
      <c r="M6" s="30">
        <f t="shared" si="3"/>
        <v>6</v>
      </c>
      <c r="N6" s="25"/>
      <c r="O6" s="31">
        <f t="shared" si="4"/>
        <v>0.00006944444444</v>
      </c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</row>
    <row r="7" ht="12.75" customHeight="1">
      <c r="A7" s="80">
        <v>3.0</v>
      </c>
      <c r="B7" s="27" t="s">
        <v>40</v>
      </c>
      <c r="C7" s="28"/>
      <c r="D7" s="28"/>
      <c r="E7" s="29">
        <v>7.53</v>
      </c>
      <c r="F7" s="29">
        <v>9.65</v>
      </c>
      <c r="G7" s="29">
        <v>3.58</v>
      </c>
      <c r="H7" s="29">
        <v>5.62</v>
      </c>
      <c r="I7" s="29">
        <v>5.54</v>
      </c>
      <c r="J7" s="30">
        <f t="shared" si="1"/>
        <v>3.58</v>
      </c>
      <c r="K7" s="30"/>
      <c r="L7" s="30">
        <f t="shared" si="2"/>
        <v>9.65</v>
      </c>
      <c r="M7" s="30">
        <f t="shared" si="3"/>
        <v>6.23</v>
      </c>
      <c r="N7" s="25"/>
      <c r="O7" s="31">
        <f t="shared" si="4"/>
        <v>0.00007210648148</v>
      </c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</row>
    <row r="8" ht="12.75" customHeight="1">
      <c r="A8" s="80">
        <v>4.0</v>
      </c>
      <c r="B8" s="27" t="s">
        <v>37</v>
      </c>
      <c r="C8" s="28"/>
      <c r="D8" s="28"/>
      <c r="E8" s="29">
        <v>7.79</v>
      </c>
      <c r="F8" s="29">
        <v>5.56</v>
      </c>
      <c r="G8" s="29">
        <v>5.88</v>
      </c>
      <c r="H8" s="29">
        <v>8.29</v>
      </c>
      <c r="I8" s="29">
        <v>8.67</v>
      </c>
      <c r="J8" s="30">
        <f t="shared" si="1"/>
        <v>5.56</v>
      </c>
      <c r="K8" s="30"/>
      <c r="L8" s="30">
        <f t="shared" si="2"/>
        <v>8.67</v>
      </c>
      <c r="M8" s="30">
        <f t="shared" si="3"/>
        <v>7.32</v>
      </c>
      <c r="N8" s="25"/>
      <c r="O8" s="31">
        <f t="shared" si="4"/>
        <v>0.00008472222222</v>
      </c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</row>
    <row r="9" ht="12.75" customHeight="1">
      <c r="A9" s="80">
        <v>5.0</v>
      </c>
      <c r="B9" s="27" t="s">
        <v>152</v>
      </c>
      <c r="C9" s="28"/>
      <c r="D9" s="28"/>
      <c r="E9" s="81">
        <v>6.72</v>
      </c>
      <c r="F9" s="29">
        <v>11.79</v>
      </c>
      <c r="G9" s="29">
        <v>8.05</v>
      </c>
      <c r="H9" s="29">
        <v>7.38</v>
      </c>
      <c r="I9" s="29">
        <v>9.12</v>
      </c>
      <c r="J9" s="30">
        <f t="shared" si="1"/>
        <v>6.72</v>
      </c>
      <c r="K9" s="30"/>
      <c r="L9" s="30">
        <f t="shared" si="2"/>
        <v>11.79</v>
      </c>
      <c r="M9" s="30">
        <f t="shared" si="3"/>
        <v>8.18</v>
      </c>
      <c r="N9" s="25"/>
      <c r="O9" s="31">
        <f t="shared" si="4"/>
        <v>0.00009467592593</v>
      </c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 ht="12.75" customHeight="1">
      <c r="A10" s="80">
        <v>6.0</v>
      </c>
      <c r="B10" s="27" t="s">
        <v>55</v>
      </c>
      <c r="C10" s="33"/>
      <c r="D10" s="33"/>
      <c r="E10" s="29">
        <v>8.99</v>
      </c>
      <c r="F10" s="29">
        <v>6.73</v>
      </c>
      <c r="G10" s="29">
        <v>14.31</v>
      </c>
      <c r="H10" s="29">
        <v>8.86</v>
      </c>
      <c r="I10" s="29">
        <v>7.01</v>
      </c>
      <c r="J10" s="30">
        <f t="shared" si="1"/>
        <v>6.73</v>
      </c>
      <c r="K10" s="30"/>
      <c r="L10" s="30">
        <f t="shared" si="2"/>
        <v>14.31</v>
      </c>
      <c r="M10" s="30">
        <f t="shared" si="3"/>
        <v>8.29</v>
      </c>
      <c r="N10" s="25"/>
      <c r="O10" s="31">
        <f t="shared" si="4"/>
        <v>0.00009594907407</v>
      </c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 ht="12.75" customHeight="1">
      <c r="A11" s="80">
        <v>7.0</v>
      </c>
      <c r="B11" s="27" t="s">
        <v>38</v>
      </c>
      <c r="C11" s="28"/>
      <c r="D11" s="28"/>
      <c r="E11" s="29">
        <v>12.69</v>
      </c>
      <c r="F11" s="29">
        <v>9.86</v>
      </c>
      <c r="G11" s="29">
        <v>7.35</v>
      </c>
      <c r="H11" s="29">
        <v>8.11</v>
      </c>
      <c r="I11" s="29">
        <v>4.86</v>
      </c>
      <c r="J11" s="30">
        <f t="shared" si="1"/>
        <v>4.86</v>
      </c>
      <c r="K11" s="30"/>
      <c r="L11" s="30">
        <f t="shared" si="2"/>
        <v>12.69</v>
      </c>
      <c r="M11" s="30">
        <f t="shared" si="3"/>
        <v>8.44</v>
      </c>
      <c r="N11" s="25"/>
      <c r="O11" s="31">
        <f t="shared" si="4"/>
        <v>0.00009768518519</v>
      </c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 ht="12.75" customHeight="1">
      <c r="A12" s="80">
        <v>8.0</v>
      </c>
      <c r="B12" s="27" t="s">
        <v>44</v>
      </c>
      <c r="C12" s="28"/>
      <c r="D12" s="28"/>
      <c r="E12" s="29">
        <v>8.64</v>
      </c>
      <c r="F12" s="29">
        <v>10.39</v>
      </c>
      <c r="G12" s="29">
        <v>8.68</v>
      </c>
      <c r="H12" s="29">
        <v>8.08</v>
      </c>
      <c r="I12" s="29">
        <v>9.15</v>
      </c>
      <c r="J12" s="30">
        <f t="shared" si="1"/>
        <v>8.08</v>
      </c>
      <c r="K12" s="30"/>
      <c r="L12" s="30">
        <f t="shared" si="2"/>
        <v>10.39</v>
      </c>
      <c r="M12" s="30">
        <f t="shared" si="3"/>
        <v>8.82</v>
      </c>
      <c r="N12" s="25"/>
      <c r="O12" s="31">
        <f t="shared" si="4"/>
        <v>0.0001020833333</v>
      </c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 ht="12.75" customHeight="1">
      <c r="A13" s="80">
        <v>9.0</v>
      </c>
      <c r="B13" s="27" t="s">
        <v>42</v>
      </c>
      <c r="C13" s="33"/>
      <c r="D13" s="33"/>
      <c r="E13" s="29">
        <v>10.11</v>
      </c>
      <c r="F13" s="29">
        <v>9.89</v>
      </c>
      <c r="G13" s="29">
        <v>9.12</v>
      </c>
      <c r="H13" s="29">
        <v>7.72</v>
      </c>
      <c r="I13" s="29">
        <v>8.19</v>
      </c>
      <c r="J13" s="30">
        <f t="shared" si="1"/>
        <v>7.72</v>
      </c>
      <c r="K13" s="30"/>
      <c r="L13" s="30">
        <f t="shared" si="2"/>
        <v>10.11</v>
      </c>
      <c r="M13" s="30">
        <f t="shared" si="3"/>
        <v>9.07</v>
      </c>
      <c r="N13" s="25"/>
      <c r="O13" s="31">
        <f t="shared" si="4"/>
        <v>0.0001049768519</v>
      </c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 ht="12.75" customHeight="1">
      <c r="A14" s="80">
        <v>10.0</v>
      </c>
      <c r="B14" s="27" t="s">
        <v>86</v>
      </c>
      <c r="C14" s="28"/>
      <c r="D14" s="28"/>
      <c r="E14" s="29">
        <v>11.59</v>
      </c>
      <c r="F14" s="29">
        <v>11.38</v>
      </c>
      <c r="G14" s="29">
        <v>7.98</v>
      </c>
      <c r="H14" s="29">
        <v>7.32</v>
      </c>
      <c r="I14" s="29">
        <v>9.35</v>
      </c>
      <c r="J14" s="30">
        <f t="shared" si="1"/>
        <v>7.32</v>
      </c>
      <c r="K14" s="30"/>
      <c r="L14" s="30">
        <f t="shared" si="2"/>
        <v>11.59</v>
      </c>
      <c r="M14" s="30">
        <f t="shared" si="3"/>
        <v>9.57</v>
      </c>
      <c r="N14" s="25"/>
      <c r="O14" s="31">
        <f t="shared" si="4"/>
        <v>0.0001107638889</v>
      </c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ht="12.75" customHeight="1">
      <c r="A15" s="80">
        <v>11.0</v>
      </c>
      <c r="B15" s="27" t="s">
        <v>75</v>
      </c>
      <c r="C15" s="33"/>
      <c r="D15" s="33"/>
      <c r="E15" s="29">
        <v>13.13</v>
      </c>
      <c r="F15" s="29">
        <v>11.99</v>
      </c>
      <c r="G15" s="29">
        <v>8.25</v>
      </c>
      <c r="H15" s="29">
        <v>6.9</v>
      </c>
      <c r="I15" s="29">
        <v>9.89</v>
      </c>
      <c r="J15" s="30">
        <f t="shared" si="1"/>
        <v>6.9</v>
      </c>
      <c r="K15" s="30"/>
      <c r="L15" s="30">
        <f t="shared" si="2"/>
        <v>13.13</v>
      </c>
      <c r="M15" s="30">
        <f t="shared" si="3"/>
        <v>10.04</v>
      </c>
      <c r="N15" s="25"/>
      <c r="O15" s="31">
        <f t="shared" si="4"/>
        <v>0.0001162037037</v>
      </c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ht="12.75" customHeight="1">
      <c r="A16" s="80">
        <v>12.0</v>
      </c>
      <c r="B16" s="27" t="s">
        <v>58</v>
      </c>
      <c r="C16" s="28"/>
      <c r="D16" s="28"/>
      <c r="E16" s="29">
        <v>10.16</v>
      </c>
      <c r="F16" s="29">
        <v>13.72</v>
      </c>
      <c r="G16" s="29">
        <v>6.54</v>
      </c>
      <c r="H16" s="29">
        <v>10.6</v>
      </c>
      <c r="I16" s="29">
        <v>11.83</v>
      </c>
      <c r="J16" s="30">
        <f t="shared" si="1"/>
        <v>6.54</v>
      </c>
      <c r="K16" s="30"/>
      <c r="L16" s="30">
        <f t="shared" si="2"/>
        <v>13.72</v>
      </c>
      <c r="M16" s="30">
        <f t="shared" si="3"/>
        <v>10.86</v>
      </c>
      <c r="N16" s="25"/>
      <c r="O16" s="31">
        <f t="shared" si="4"/>
        <v>0.0001256944444</v>
      </c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 ht="12.75" customHeight="1">
      <c r="A17" s="55">
        <v>14.0</v>
      </c>
      <c r="B17" s="27"/>
      <c r="C17" s="33"/>
      <c r="D17" s="33"/>
      <c r="E17" s="34"/>
      <c r="F17" s="34"/>
      <c r="G17" s="34"/>
      <c r="H17" s="34"/>
      <c r="I17" s="34"/>
      <c r="J17" s="35" t="str">
        <f t="shared" si="1"/>
        <v/>
      </c>
      <c r="K17" s="35"/>
      <c r="L17" s="35" t="str">
        <f t="shared" si="2"/>
        <v/>
      </c>
      <c r="M17" s="35" t="str">
        <f t="shared" si="3"/>
        <v/>
      </c>
      <c r="N17" s="25"/>
      <c r="O17" s="31">
        <f t="shared" si="4"/>
        <v>0</v>
      </c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 ht="12.75" customHeight="1">
      <c r="A18" s="55">
        <v>15.0</v>
      </c>
      <c r="B18" s="27"/>
      <c r="C18" s="28"/>
      <c r="D18" s="28"/>
      <c r="E18" s="29"/>
      <c r="F18" s="29"/>
      <c r="G18" s="29"/>
      <c r="H18" s="29"/>
      <c r="I18" s="29"/>
      <c r="J18" s="30" t="str">
        <f t="shared" si="1"/>
        <v/>
      </c>
      <c r="K18" s="30"/>
      <c r="L18" s="30" t="str">
        <f t="shared" si="2"/>
        <v/>
      </c>
      <c r="M18" s="30" t="str">
        <f t="shared" si="3"/>
        <v/>
      </c>
      <c r="N18" s="25"/>
      <c r="O18" s="31">
        <f t="shared" si="4"/>
        <v>0</v>
      </c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 ht="12.75" customHeight="1">
      <c r="A19" s="55">
        <v>16.0</v>
      </c>
      <c r="B19" s="27"/>
      <c r="C19" s="28"/>
      <c r="D19" s="28"/>
      <c r="E19" s="29"/>
      <c r="F19" s="29"/>
      <c r="G19" s="29"/>
      <c r="H19" s="29"/>
      <c r="I19" s="29"/>
      <c r="J19" s="30" t="str">
        <f t="shared" si="1"/>
        <v/>
      </c>
      <c r="K19" s="30"/>
      <c r="L19" s="30" t="str">
        <f t="shared" si="2"/>
        <v/>
      </c>
      <c r="M19" s="30" t="str">
        <f t="shared" si="3"/>
        <v/>
      </c>
      <c r="N19" s="25"/>
      <c r="O19" s="31">
        <f t="shared" si="4"/>
        <v>0</v>
      </c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 ht="12.75" customHeight="1">
      <c r="A20" s="55">
        <v>17.0</v>
      </c>
      <c r="B20" s="27"/>
      <c r="C20" s="41"/>
      <c r="D20" s="41"/>
      <c r="E20" s="29"/>
      <c r="F20" s="29"/>
      <c r="G20" s="29"/>
      <c r="H20" s="29"/>
      <c r="I20" s="29"/>
      <c r="J20" s="30" t="str">
        <f t="shared" si="1"/>
        <v/>
      </c>
      <c r="K20" s="30"/>
      <c r="L20" s="30" t="str">
        <f t="shared" si="2"/>
        <v/>
      </c>
      <c r="M20" s="30" t="str">
        <f t="shared" si="3"/>
        <v/>
      </c>
      <c r="N20" s="25"/>
      <c r="O20" s="31">
        <f t="shared" si="4"/>
        <v>0</v>
      </c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 ht="12.75" customHeight="1">
      <c r="A21" s="55">
        <v>18.0</v>
      </c>
      <c r="B21" s="27"/>
      <c r="C21" s="28"/>
      <c r="D21" s="28"/>
      <c r="E21" s="29"/>
      <c r="F21" s="29"/>
      <c r="G21" s="29"/>
      <c r="H21" s="29"/>
      <c r="I21" s="29"/>
      <c r="J21" s="30" t="str">
        <f t="shared" si="1"/>
        <v/>
      </c>
      <c r="K21" s="30"/>
      <c r="L21" s="30" t="str">
        <f t="shared" si="2"/>
        <v/>
      </c>
      <c r="M21" s="30" t="str">
        <f t="shared" si="3"/>
        <v/>
      </c>
      <c r="N21" s="25"/>
      <c r="O21" s="31">
        <f t="shared" si="4"/>
        <v>0</v>
      </c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 ht="12.75" customHeight="1">
      <c r="A22" s="55">
        <v>19.0</v>
      </c>
      <c r="B22" s="27"/>
      <c r="C22" s="28"/>
      <c r="D22" s="28"/>
      <c r="E22" s="29"/>
      <c r="F22" s="29"/>
      <c r="G22" s="29"/>
      <c r="H22" s="29"/>
      <c r="I22" s="29"/>
      <c r="J22" s="30" t="str">
        <f t="shared" si="1"/>
        <v/>
      </c>
      <c r="K22" s="30"/>
      <c r="L22" s="30" t="str">
        <f t="shared" si="2"/>
        <v/>
      </c>
      <c r="M22" s="30" t="str">
        <f t="shared" si="3"/>
        <v/>
      </c>
      <c r="N22" s="25"/>
      <c r="O22" s="31">
        <f t="shared" si="4"/>
        <v>0</v>
      </c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 ht="12.75" customHeight="1">
      <c r="A23" s="55">
        <v>20.0</v>
      </c>
      <c r="B23" s="36"/>
      <c r="C23" s="28"/>
      <c r="D23" s="28"/>
      <c r="E23" s="30"/>
      <c r="F23" s="30"/>
      <c r="G23" s="30"/>
      <c r="H23" s="30"/>
      <c r="I23" s="30"/>
      <c r="J23" s="30" t="str">
        <f t="shared" si="1"/>
        <v/>
      </c>
      <c r="K23" s="30"/>
      <c r="L23" s="30" t="str">
        <f t="shared" si="2"/>
        <v/>
      </c>
      <c r="M23" s="30" t="str">
        <f t="shared" si="3"/>
        <v/>
      </c>
      <c r="N23" s="25"/>
      <c r="O23" s="31">
        <f t="shared" si="4"/>
        <v>0</v>
      </c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 ht="12.75" customHeight="1">
      <c r="A24" s="55">
        <v>21.0</v>
      </c>
      <c r="B24" s="36"/>
      <c r="C24" s="28"/>
      <c r="D24" s="28"/>
      <c r="E24" s="30"/>
      <c r="F24" s="30"/>
      <c r="G24" s="30"/>
      <c r="H24" s="30"/>
      <c r="I24" s="30"/>
      <c r="J24" s="30" t="str">
        <f t="shared" si="1"/>
        <v/>
      </c>
      <c r="K24" s="30"/>
      <c r="L24" s="30" t="str">
        <f t="shared" si="2"/>
        <v/>
      </c>
      <c r="M24" s="30" t="str">
        <f t="shared" si="3"/>
        <v/>
      </c>
      <c r="N24" s="25"/>
      <c r="O24" s="31">
        <f t="shared" si="4"/>
        <v>0</v>
      </c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 ht="12.75" customHeight="1">
      <c r="A25" s="55">
        <v>22.0</v>
      </c>
      <c r="B25" s="36"/>
      <c r="C25" s="28"/>
      <c r="D25" s="28"/>
      <c r="E25" s="30"/>
      <c r="F25" s="30"/>
      <c r="G25" s="30"/>
      <c r="H25" s="30"/>
      <c r="I25" s="30"/>
      <c r="J25" s="30" t="str">
        <f t="shared" si="1"/>
        <v/>
      </c>
      <c r="K25" s="30"/>
      <c r="L25" s="30" t="str">
        <f t="shared" si="2"/>
        <v/>
      </c>
      <c r="M25" s="30" t="str">
        <f t="shared" si="3"/>
        <v/>
      </c>
      <c r="N25" s="25"/>
      <c r="O25" s="31">
        <f t="shared" si="4"/>
        <v>0</v>
      </c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 ht="12.75" customHeight="1">
      <c r="A26" s="55">
        <v>23.0</v>
      </c>
      <c r="B26" s="36"/>
      <c r="C26" s="28"/>
      <c r="D26" s="28"/>
      <c r="E26" s="30"/>
      <c r="F26" s="30"/>
      <c r="G26" s="30"/>
      <c r="H26" s="30"/>
      <c r="I26" s="30"/>
      <c r="J26" s="30" t="str">
        <f t="shared" si="1"/>
        <v/>
      </c>
      <c r="K26" s="30"/>
      <c r="L26" s="30" t="str">
        <f t="shared" si="2"/>
        <v/>
      </c>
      <c r="M26" s="30" t="str">
        <f t="shared" si="3"/>
        <v/>
      </c>
      <c r="N26" s="25"/>
      <c r="O26" s="31">
        <f t="shared" si="4"/>
        <v>0</v>
      </c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 ht="12.75" customHeight="1">
      <c r="A27" s="55">
        <v>24.0</v>
      </c>
      <c r="B27" s="36"/>
      <c r="C27" s="28"/>
      <c r="D27" s="28"/>
      <c r="E27" s="30"/>
      <c r="F27" s="30"/>
      <c r="G27" s="30"/>
      <c r="H27" s="30"/>
      <c r="I27" s="30"/>
      <c r="J27" s="30">
        <v>54.39</v>
      </c>
      <c r="K27" s="30"/>
      <c r="L27" s="30" t="str">
        <f t="shared" si="2"/>
        <v/>
      </c>
      <c r="M27" s="30" t="str">
        <f t="shared" si="3"/>
        <v/>
      </c>
      <c r="N27" s="25"/>
      <c r="O27" s="31">
        <f t="shared" si="4"/>
        <v>0</v>
      </c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 ht="12.75" customHeight="1">
      <c r="A28" s="55">
        <v>25.0</v>
      </c>
      <c r="B28" s="36"/>
      <c r="C28" s="28"/>
      <c r="D28" s="28"/>
      <c r="E28" s="30"/>
      <c r="F28" s="30"/>
      <c r="G28" s="30"/>
      <c r="H28" s="30"/>
      <c r="I28" s="30"/>
      <c r="J28" s="30" t="str">
        <f t="shared" ref="J28:J43" si="5">IF(MIN(E28:I28)&gt;0,MIN(E28:I28),IF(COUNTBLANK(E28:I28)=5,"","DNF"))</f>
        <v/>
      </c>
      <c r="K28" s="30"/>
      <c r="L28" s="30" t="str">
        <f t="shared" si="2"/>
        <v/>
      </c>
      <c r="M28" s="30" t="str">
        <f>IF(COUNTBLANK(E28:I28)&gt;0,"",IF(COUNTIF(E28:I28,"DNF")+COUNTIF(E28:I28,"DNS")&gt;1,"DNF",IF(COUNTIF(E28:I28,"DNF")+COUNTIF(E28:I28,"DNS")&gt;0,(SUM(E28:I28)-J28)/3,(SUM(E28:I28)-J28-L28)/3)))</f>
        <v/>
      </c>
      <c r="N28" s="25"/>
      <c r="O28" s="31">
        <f t="shared" si="4"/>
        <v>0</v>
      </c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ht="12.75" customHeight="1">
      <c r="A29" s="55">
        <v>26.0</v>
      </c>
      <c r="B29" s="36"/>
      <c r="C29" s="28"/>
      <c r="D29" s="28"/>
      <c r="E29" s="30"/>
      <c r="F29" s="30"/>
      <c r="G29" s="30"/>
      <c r="H29" s="30"/>
      <c r="I29" s="30"/>
      <c r="J29" s="30" t="str">
        <f t="shared" si="5"/>
        <v/>
      </c>
      <c r="K29" s="30"/>
      <c r="L29" s="30" t="str">
        <f t="shared" si="2"/>
        <v/>
      </c>
      <c r="M29" s="30" t="str">
        <f t="shared" ref="M29:M41" si="6">IF(COUNTBLANK(E29:I29)&gt;0,"",IF(COUNTIF(E29:I29,"DNF")+COUNTIF(E29:I29,"DNS")&gt;1,"DNF",ROUND(IF(COUNTIF(E29:I29,"DNF")+COUNTIF(E29:I29,"DNS")&gt;0,(SUM(E29:I29)-J29)/3,(SUM(E29:I29)-J29-L29)/3),2)))</f>
        <v/>
      </c>
      <c r="N29" s="25"/>
      <c r="O29" s="31">
        <f t="shared" si="4"/>
        <v>0</v>
      </c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 ht="12.75" customHeight="1">
      <c r="A30" s="55">
        <v>27.0</v>
      </c>
      <c r="B30" s="36"/>
      <c r="C30" s="28"/>
      <c r="D30" s="28"/>
      <c r="E30" s="30"/>
      <c r="F30" s="30"/>
      <c r="G30" s="30"/>
      <c r="H30" s="30"/>
      <c r="I30" s="30"/>
      <c r="J30" s="30" t="str">
        <f t="shared" si="5"/>
        <v/>
      </c>
      <c r="K30" s="30"/>
      <c r="L30" s="30" t="str">
        <f t="shared" si="2"/>
        <v/>
      </c>
      <c r="M30" s="30" t="str">
        <f t="shared" si="6"/>
        <v/>
      </c>
      <c r="N30" s="25"/>
      <c r="O30" s="31">
        <f t="shared" si="4"/>
        <v>0</v>
      </c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 ht="12.75" customHeight="1">
      <c r="A31" s="55">
        <v>28.0</v>
      </c>
      <c r="B31" s="36"/>
      <c r="C31" s="28"/>
      <c r="D31" s="28"/>
      <c r="E31" s="30"/>
      <c r="F31" s="30"/>
      <c r="G31" s="30"/>
      <c r="H31" s="30"/>
      <c r="I31" s="30"/>
      <c r="J31" s="30" t="str">
        <f t="shared" si="5"/>
        <v/>
      </c>
      <c r="K31" s="30"/>
      <c r="L31" s="30" t="str">
        <f t="shared" si="2"/>
        <v/>
      </c>
      <c r="M31" s="30" t="str">
        <f t="shared" si="6"/>
        <v/>
      </c>
      <c r="N31" s="25"/>
      <c r="O31" s="31">
        <f t="shared" si="4"/>
        <v>0</v>
      </c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 ht="12.75" customHeight="1">
      <c r="A32" s="55">
        <v>29.0</v>
      </c>
      <c r="B32" s="36"/>
      <c r="C32" s="28"/>
      <c r="D32" s="28"/>
      <c r="E32" s="30"/>
      <c r="F32" s="30"/>
      <c r="G32" s="30"/>
      <c r="H32" s="30"/>
      <c r="I32" s="30"/>
      <c r="J32" s="30" t="str">
        <f t="shared" si="5"/>
        <v/>
      </c>
      <c r="K32" s="30"/>
      <c r="L32" s="30" t="str">
        <f t="shared" si="2"/>
        <v/>
      </c>
      <c r="M32" s="30" t="str">
        <f t="shared" si="6"/>
        <v/>
      </c>
      <c r="N32" s="25"/>
      <c r="O32" s="31">
        <f t="shared" si="4"/>
        <v>0</v>
      </c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 ht="12.75" customHeight="1">
      <c r="A33" s="55">
        <v>30.0</v>
      </c>
      <c r="B33" s="36"/>
      <c r="C33" s="28"/>
      <c r="D33" s="28"/>
      <c r="E33" s="30"/>
      <c r="F33" s="30"/>
      <c r="G33" s="30"/>
      <c r="H33" s="30"/>
      <c r="I33" s="30"/>
      <c r="J33" s="30" t="str">
        <f t="shared" si="5"/>
        <v/>
      </c>
      <c r="K33" s="30"/>
      <c r="L33" s="30" t="str">
        <f t="shared" si="2"/>
        <v/>
      </c>
      <c r="M33" s="30" t="str">
        <f t="shared" si="6"/>
        <v/>
      </c>
      <c r="N33" s="25"/>
      <c r="O33" s="31">
        <f t="shared" si="4"/>
        <v>0</v>
      </c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ht="12.75" customHeight="1">
      <c r="A34" s="55">
        <v>31.0</v>
      </c>
      <c r="B34" s="36"/>
      <c r="C34" s="28"/>
      <c r="D34" s="28"/>
      <c r="E34" s="30"/>
      <c r="F34" s="30"/>
      <c r="G34" s="30"/>
      <c r="H34" s="30"/>
      <c r="I34" s="30"/>
      <c r="J34" s="30" t="str">
        <f t="shared" si="5"/>
        <v/>
      </c>
      <c r="K34" s="30"/>
      <c r="L34" s="30" t="str">
        <f t="shared" si="2"/>
        <v/>
      </c>
      <c r="M34" s="30" t="str">
        <f t="shared" si="6"/>
        <v/>
      </c>
      <c r="N34" s="25"/>
      <c r="O34" s="31">
        <f t="shared" si="4"/>
        <v>0</v>
      </c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 ht="12.75" customHeight="1">
      <c r="A35" s="55">
        <v>32.0</v>
      </c>
      <c r="B35" s="36"/>
      <c r="C35" s="28"/>
      <c r="D35" s="28"/>
      <c r="E35" s="30"/>
      <c r="F35" s="30"/>
      <c r="G35" s="30"/>
      <c r="H35" s="30"/>
      <c r="I35" s="30"/>
      <c r="J35" s="30" t="str">
        <f t="shared" si="5"/>
        <v/>
      </c>
      <c r="K35" s="30"/>
      <c r="L35" s="30" t="str">
        <f t="shared" si="2"/>
        <v/>
      </c>
      <c r="M35" s="30" t="str">
        <f t="shared" si="6"/>
        <v/>
      </c>
      <c r="N35" s="25"/>
      <c r="O35" s="31">
        <f t="shared" si="4"/>
        <v>0</v>
      </c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 ht="12.75" customHeight="1">
      <c r="A36" s="55">
        <v>33.0</v>
      </c>
      <c r="B36" s="36"/>
      <c r="C36" s="28"/>
      <c r="D36" s="28"/>
      <c r="E36" s="30"/>
      <c r="F36" s="30"/>
      <c r="G36" s="30"/>
      <c r="H36" s="30"/>
      <c r="I36" s="30"/>
      <c r="J36" s="30" t="str">
        <f t="shared" si="5"/>
        <v/>
      </c>
      <c r="K36" s="30"/>
      <c r="L36" s="30" t="str">
        <f t="shared" si="2"/>
        <v/>
      </c>
      <c r="M36" s="30" t="str">
        <f t="shared" si="6"/>
        <v/>
      </c>
      <c r="N36" s="25"/>
      <c r="O36" s="31">
        <f t="shared" si="4"/>
        <v>0</v>
      </c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 ht="12.75" customHeight="1">
      <c r="A37" s="55">
        <v>34.0</v>
      </c>
      <c r="B37" s="36"/>
      <c r="C37" s="28"/>
      <c r="D37" s="28"/>
      <c r="E37" s="30"/>
      <c r="F37" s="30"/>
      <c r="G37" s="30"/>
      <c r="H37" s="30"/>
      <c r="I37" s="30"/>
      <c r="J37" s="30" t="str">
        <f t="shared" si="5"/>
        <v/>
      </c>
      <c r="K37" s="30"/>
      <c r="L37" s="30" t="str">
        <f t="shared" si="2"/>
        <v/>
      </c>
      <c r="M37" s="30" t="str">
        <f t="shared" si="6"/>
        <v/>
      </c>
      <c r="N37" s="25"/>
      <c r="O37" s="31">
        <f t="shared" si="4"/>
        <v>0</v>
      </c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ht="12.75" customHeight="1">
      <c r="A38" s="55">
        <v>35.0</v>
      </c>
      <c r="B38" s="36"/>
      <c r="C38" s="28"/>
      <c r="D38" s="28"/>
      <c r="E38" s="30"/>
      <c r="F38" s="30"/>
      <c r="G38" s="30"/>
      <c r="H38" s="30"/>
      <c r="I38" s="30"/>
      <c r="J38" s="30" t="str">
        <f t="shared" si="5"/>
        <v/>
      </c>
      <c r="K38" s="30"/>
      <c r="L38" s="30" t="str">
        <f t="shared" si="2"/>
        <v/>
      </c>
      <c r="M38" s="30" t="str">
        <f t="shared" si="6"/>
        <v/>
      </c>
      <c r="N38" s="25"/>
      <c r="O38" s="31">
        <f t="shared" si="4"/>
        <v>0</v>
      </c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 ht="12.75" customHeight="1">
      <c r="A39" s="55">
        <v>36.0</v>
      </c>
      <c r="B39" s="36"/>
      <c r="C39" s="28"/>
      <c r="D39" s="28"/>
      <c r="E39" s="30"/>
      <c r="F39" s="30"/>
      <c r="G39" s="30"/>
      <c r="H39" s="30"/>
      <c r="I39" s="30"/>
      <c r="J39" s="30" t="str">
        <f t="shared" si="5"/>
        <v/>
      </c>
      <c r="K39" s="30"/>
      <c r="L39" s="30" t="str">
        <f t="shared" si="2"/>
        <v/>
      </c>
      <c r="M39" s="30" t="str">
        <f t="shared" si="6"/>
        <v/>
      </c>
      <c r="N39" s="25"/>
      <c r="O39" s="31">
        <f t="shared" si="4"/>
        <v>0</v>
      </c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 ht="12.75" customHeight="1">
      <c r="A40" s="55">
        <v>37.0</v>
      </c>
      <c r="B40" s="36"/>
      <c r="C40" s="28"/>
      <c r="D40" s="28"/>
      <c r="E40" s="30"/>
      <c r="F40" s="30"/>
      <c r="G40" s="30"/>
      <c r="H40" s="30"/>
      <c r="I40" s="30"/>
      <c r="J40" s="30" t="str">
        <f t="shared" si="5"/>
        <v/>
      </c>
      <c r="K40" s="30"/>
      <c r="L40" s="30" t="str">
        <f t="shared" si="2"/>
        <v/>
      </c>
      <c r="M40" s="30" t="str">
        <f t="shared" si="6"/>
        <v/>
      </c>
      <c r="N40" s="25"/>
      <c r="O40" s="31">
        <f t="shared" si="4"/>
        <v>0</v>
      </c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 ht="12.75" customHeight="1">
      <c r="A41" s="55">
        <f>IF(AND(M40=M41,J40=J41),A40,ROW()-4)</f>
        <v>37</v>
      </c>
      <c r="B41" s="36"/>
      <c r="C41" s="28"/>
      <c r="D41" s="28"/>
      <c r="E41" s="30"/>
      <c r="F41" s="30"/>
      <c r="G41" s="30"/>
      <c r="H41" s="30"/>
      <c r="I41" s="30"/>
      <c r="J41" s="30" t="str">
        <f t="shared" si="5"/>
        <v/>
      </c>
      <c r="K41" s="30"/>
      <c r="L41" s="30" t="str">
        <f t="shared" si="2"/>
        <v/>
      </c>
      <c r="M41" s="30" t="str">
        <f t="shared" si="6"/>
        <v/>
      </c>
      <c r="N41" s="25"/>
      <c r="O41" s="31">
        <f t="shared" si="4"/>
        <v>0</v>
      </c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 ht="12.75" customHeight="1">
      <c r="A42" s="55">
        <v>15.0</v>
      </c>
      <c r="B42" s="36"/>
      <c r="E42" s="44"/>
      <c r="F42" s="44"/>
      <c r="G42" s="44"/>
      <c r="H42" s="44"/>
      <c r="I42" s="44"/>
      <c r="J42" s="44" t="str">
        <f t="shared" si="5"/>
        <v/>
      </c>
      <c r="K42" s="45"/>
      <c r="L42" s="44" t="str">
        <f t="shared" si="2"/>
        <v/>
      </c>
      <c r="M42" s="44" t="str">
        <f>IF(COUNTBLANK(E42:I42)&gt;0,"",IF(COUNTIF(E42:I42,"DNF")+COUNTIF(E42:I42,"DNS")&gt;1,"DNF",IF(COUNTIF(E42:I42,"DNF")+COUNTIF(E42:I42,"DNS")&gt;0,(SUM(E42:I42)-J42)/3,(SUM(E42:I42)-J42-L42)/3)))</f>
        <v/>
      </c>
      <c r="N42" s="25"/>
      <c r="O42" s="31">
        <f t="shared" si="4"/>
        <v>0</v>
      </c>
    </row>
    <row r="43" ht="12.75" customHeight="1">
      <c r="E43" s="35"/>
      <c r="F43" s="35"/>
      <c r="G43" s="35"/>
      <c r="H43" s="35"/>
      <c r="I43" s="35"/>
      <c r="J43" s="35" t="str">
        <f t="shared" si="5"/>
        <v/>
      </c>
      <c r="K43" s="35"/>
      <c r="L43" s="35" t="str">
        <f t="shared" si="2"/>
        <v/>
      </c>
      <c r="M43" s="35" t="str">
        <f>IF(COUNTBLANK(E43:I43)&gt;0,"",IF(COUNTIF(E43:I43,"DNF")+COUNTIF(E43:I43,"DNS")&gt;1,"DNF",ROUND(IF(COUNTIF(E43:I43,"DNF")+COUNTIF(E43:I43,"DNS")&gt;0,(SUM(E43:I43)-J43)/3,(SUM(E43:I43)-J43-L43)/3),2)))</f>
        <v/>
      </c>
      <c r="N43" s="25"/>
      <c r="O43" s="31">
        <f t="shared" si="4"/>
        <v>0</v>
      </c>
    </row>
    <row r="44" ht="12.75" customHeight="1">
      <c r="E44" s="40"/>
      <c r="F44" s="40"/>
      <c r="G44" s="40"/>
      <c r="H44" s="40"/>
      <c r="I44" s="40"/>
      <c r="J44" s="40"/>
      <c r="K44" s="40"/>
      <c r="L44" s="40"/>
      <c r="M44" s="40"/>
    </row>
    <row r="45" ht="12.75" customHeight="1">
      <c r="E45" s="40"/>
      <c r="F45" s="40"/>
      <c r="G45" s="40"/>
      <c r="H45" s="40"/>
      <c r="I45" s="40"/>
      <c r="J45" s="40"/>
      <c r="K45" s="40"/>
      <c r="L45" s="40"/>
      <c r="M45" s="40"/>
    </row>
    <row r="46" ht="12.75" customHeight="1">
      <c r="E46" s="40"/>
      <c r="F46" s="40"/>
      <c r="G46" s="40"/>
      <c r="H46" s="40"/>
      <c r="I46" s="40"/>
      <c r="J46" s="40"/>
      <c r="K46" s="40"/>
      <c r="L46" s="40"/>
      <c r="M46" s="40"/>
    </row>
    <row r="47" ht="12.75" customHeight="1">
      <c r="E47" s="40"/>
      <c r="F47" s="40"/>
      <c r="G47" s="40"/>
      <c r="H47" s="40"/>
      <c r="I47" s="40"/>
      <c r="J47" s="40"/>
      <c r="K47" s="40"/>
      <c r="L47" s="40"/>
      <c r="M47" s="40"/>
    </row>
    <row r="48" ht="12.75" customHeight="1">
      <c r="E48" s="40"/>
      <c r="F48" s="40"/>
      <c r="G48" s="40"/>
      <c r="H48" s="40"/>
      <c r="I48" s="40"/>
      <c r="J48" s="40"/>
      <c r="K48" s="40"/>
      <c r="L48" s="40"/>
      <c r="M48" s="40"/>
    </row>
    <row r="49" ht="12.75" customHeight="1">
      <c r="E49" s="40"/>
      <c r="F49" s="40"/>
      <c r="G49" s="40"/>
      <c r="H49" s="40"/>
      <c r="I49" s="40"/>
      <c r="J49" s="40"/>
      <c r="K49" s="40"/>
      <c r="L49" s="40"/>
      <c r="M49" s="40"/>
    </row>
    <row r="50" ht="12.75" customHeight="1">
      <c r="E50" s="40"/>
      <c r="F50" s="40"/>
      <c r="G50" s="40"/>
      <c r="H50" s="40"/>
      <c r="I50" s="40"/>
      <c r="J50" s="40"/>
      <c r="K50" s="40"/>
      <c r="L50" s="40"/>
      <c r="M50" s="40"/>
    </row>
    <row r="51" ht="12.75" customHeight="1">
      <c r="E51" s="40"/>
      <c r="F51" s="40"/>
      <c r="G51" s="40"/>
      <c r="H51" s="40"/>
      <c r="I51" s="40"/>
      <c r="J51" s="40"/>
      <c r="K51" s="40"/>
      <c r="L51" s="40"/>
      <c r="M51" s="40"/>
    </row>
    <row r="52" ht="12.75" customHeight="1">
      <c r="E52" s="40"/>
      <c r="F52" s="40"/>
      <c r="G52" s="40"/>
      <c r="H52" s="40"/>
      <c r="I52" s="40"/>
      <c r="J52" s="40"/>
      <c r="K52" s="40"/>
      <c r="L52" s="40"/>
      <c r="M52" s="40"/>
    </row>
    <row r="53" ht="12.75" customHeight="1">
      <c r="E53" s="40"/>
      <c r="F53" s="40"/>
      <c r="G53" s="40"/>
      <c r="H53" s="40"/>
      <c r="I53" s="40"/>
      <c r="J53" s="40"/>
      <c r="K53" s="40"/>
      <c r="L53" s="40"/>
      <c r="M53" s="40"/>
    </row>
    <row r="54" ht="12.75" customHeight="1">
      <c r="E54" s="40"/>
      <c r="F54" s="40"/>
      <c r="G54" s="40"/>
      <c r="H54" s="40"/>
      <c r="I54" s="40"/>
      <c r="J54" s="40"/>
      <c r="K54" s="40"/>
      <c r="L54" s="40"/>
      <c r="M54" s="40"/>
    </row>
    <row r="55" ht="12.75" customHeight="1">
      <c r="E55" s="40"/>
      <c r="F55" s="40"/>
      <c r="G55" s="40"/>
      <c r="H55" s="40"/>
      <c r="I55" s="40"/>
      <c r="J55" s="40"/>
      <c r="K55" s="40"/>
      <c r="L55" s="40"/>
      <c r="M55" s="40"/>
    </row>
    <row r="56" ht="12.75" customHeight="1">
      <c r="E56" s="40"/>
      <c r="F56" s="40"/>
      <c r="G56" s="40"/>
      <c r="H56" s="40"/>
      <c r="I56" s="40"/>
      <c r="J56" s="40"/>
      <c r="K56" s="40"/>
      <c r="L56" s="40"/>
      <c r="M56" s="40"/>
    </row>
    <row r="57" ht="12.75" customHeight="1">
      <c r="E57" s="40"/>
      <c r="F57" s="40"/>
      <c r="G57" s="40"/>
      <c r="H57" s="40"/>
      <c r="I57" s="40"/>
      <c r="J57" s="40"/>
      <c r="K57" s="40"/>
      <c r="L57" s="40"/>
      <c r="M57" s="40"/>
    </row>
    <row r="58" ht="12.75" customHeight="1">
      <c r="E58" s="40"/>
      <c r="F58" s="40"/>
      <c r="G58" s="40"/>
      <c r="H58" s="40"/>
      <c r="I58" s="40"/>
      <c r="J58" s="40"/>
      <c r="K58" s="40"/>
      <c r="L58" s="40"/>
      <c r="M58" s="40"/>
    </row>
    <row r="59" ht="12.75" customHeight="1">
      <c r="E59" s="40"/>
      <c r="F59" s="40"/>
      <c r="G59" s="40"/>
      <c r="H59" s="40"/>
      <c r="I59" s="40"/>
      <c r="J59" s="40"/>
      <c r="K59" s="40"/>
      <c r="L59" s="40"/>
      <c r="M59" s="40"/>
    </row>
    <row r="60" ht="12.75" customHeight="1">
      <c r="E60" s="40"/>
      <c r="F60" s="40"/>
      <c r="G60" s="40"/>
      <c r="H60" s="40"/>
      <c r="I60" s="40"/>
      <c r="J60" s="40"/>
      <c r="K60" s="40"/>
      <c r="L60" s="40"/>
      <c r="M60" s="40"/>
    </row>
    <row r="61" ht="12.75" customHeight="1">
      <c r="E61" s="40"/>
      <c r="F61" s="40"/>
      <c r="G61" s="40"/>
      <c r="H61" s="40"/>
      <c r="I61" s="40"/>
      <c r="J61" s="40"/>
      <c r="K61" s="40"/>
      <c r="L61" s="40"/>
      <c r="M61" s="40"/>
    </row>
    <row r="62" ht="12.75" customHeight="1">
      <c r="E62" s="40"/>
      <c r="F62" s="40"/>
      <c r="G62" s="40"/>
      <c r="H62" s="40"/>
      <c r="I62" s="40"/>
      <c r="J62" s="40"/>
      <c r="K62" s="40"/>
      <c r="L62" s="40"/>
      <c r="M62" s="40"/>
    </row>
    <row r="63" ht="12.75" customHeight="1">
      <c r="E63" s="40"/>
      <c r="F63" s="40"/>
      <c r="G63" s="40"/>
      <c r="H63" s="40"/>
      <c r="I63" s="40"/>
      <c r="J63" s="40"/>
      <c r="K63" s="40"/>
      <c r="L63" s="40"/>
      <c r="M63" s="40"/>
    </row>
    <row r="64" ht="12.75" customHeight="1">
      <c r="E64" s="40"/>
      <c r="F64" s="40"/>
      <c r="G64" s="40"/>
      <c r="H64" s="40"/>
      <c r="I64" s="40"/>
      <c r="J64" s="40"/>
      <c r="K64" s="40"/>
      <c r="L64" s="40"/>
      <c r="M64" s="40"/>
    </row>
    <row r="65" ht="12.75" customHeight="1">
      <c r="E65" s="40"/>
      <c r="F65" s="40"/>
      <c r="G65" s="40"/>
      <c r="H65" s="40"/>
      <c r="I65" s="40"/>
      <c r="J65" s="40"/>
      <c r="K65" s="40"/>
      <c r="L65" s="40"/>
      <c r="M65" s="40"/>
    </row>
    <row r="66" ht="12.75" customHeight="1">
      <c r="E66" s="40"/>
      <c r="F66" s="40"/>
      <c r="G66" s="40"/>
      <c r="H66" s="40"/>
      <c r="I66" s="40"/>
      <c r="J66" s="40"/>
      <c r="K66" s="40"/>
      <c r="L66" s="40"/>
      <c r="M66" s="40"/>
    </row>
    <row r="67" ht="12.75" customHeight="1">
      <c r="E67" s="40"/>
      <c r="F67" s="40"/>
      <c r="G67" s="40"/>
      <c r="H67" s="40"/>
      <c r="I67" s="40"/>
      <c r="J67" s="40"/>
      <c r="K67" s="40"/>
      <c r="L67" s="40"/>
      <c r="M67" s="40"/>
    </row>
    <row r="68" ht="12.75" customHeight="1">
      <c r="E68" s="40"/>
      <c r="F68" s="40"/>
      <c r="G68" s="40"/>
      <c r="H68" s="40"/>
      <c r="I68" s="40"/>
      <c r="J68" s="40"/>
      <c r="K68" s="40"/>
      <c r="L68" s="40"/>
      <c r="M68" s="40"/>
    </row>
    <row r="69" ht="12.75" customHeight="1">
      <c r="E69" s="40"/>
      <c r="F69" s="40"/>
      <c r="G69" s="40"/>
      <c r="H69" s="40"/>
      <c r="I69" s="40"/>
      <c r="J69" s="40"/>
      <c r="K69" s="40"/>
      <c r="L69" s="40"/>
      <c r="M69" s="40"/>
    </row>
    <row r="70" ht="12.75" customHeight="1">
      <c r="E70" s="40"/>
      <c r="F70" s="40"/>
      <c r="G70" s="40"/>
      <c r="H70" s="40"/>
      <c r="I70" s="40"/>
      <c r="J70" s="40"/>
      <c r="K70" s="40"/>
      <c r="L70" s="40"/>
      <c r="M70" s="40"/>
    </row>
    <row r="71" ht="12.75" customHeight="1">
      <c r="E71" s="40"/>
      <c r="F71" s="40"/>
      <c r="G71" s="40"/>
      <c r="H71" s="40"/>
      <c r="I71" s="40"/>
      <c r="J71" s="40"/>
      <c r="K71" s="40"/>
      <c r="L71" s="40"/>
      <c r="M71" s="40"/>
    </row>
    <row r="72" ht="12.75" customHeight="1">
      <c r="E72" s="40"/>
      <c r="F72" s="40"/>
      <c r="G72" s="40"/>
      <c r="H72" s="40"/>
      <c r="I72" s="40"/>
      <c r="J72" s="40"/>
      <c r="K72" s="40"/>
      <c r="L72" s="40"/>
      <c r="M72" s="40"/>
    </row>
    <row r="73" ht="12.75" customHeight="1">
      <c r="E73" s="40"/>
      <c r="F73" s="40"/>
      <c r="G73" s="40"/>
      <c r="H73" s="40"/>
      <c r="I73" s="40"/>
      <c r="J73" s="40"/>
      <c r="K73" s="40"/>
      <c r="L73" s="40"/>
      <c r="M73" s="40"/>
    </row>
    <row r="74" ht="12.75" customHeight="1">
      <c r="E74" s="40"/>
      <c r="F74" s="40"/>
      <c r="G74" s="40"/>
      <c r="H74" s="40"/>
      <c r="I74" s="40"/>
      <c r="J74" s="40"/>
      <c r="K74" s="40"/>
      <c r="L74" s="40"/>
      <c r="M74" s="40"/>
    </row>
    <row r="75" ht="12.75" customHeight="1">
      <c r="E75" s="40"/>
      <c r="F75" s="40"/>
      <c r="G75" s="40"/>
      <c r="H75" s="40"/>
      <c r="I75" s="40"/>
      <c r="J75" s="40"/>
      <c r="K75" s="40"/>
      <c r="L75" s="40"/>
      <c r="M75" s="40"/>
    </row>
    <row r="76" ht="12.75" customHeight="1">
      <c r="E76" s="40"/>
      <c r="F76" s="40"/>
      <c r="G76" s="40"/>
      <c r="H76" s="40"/>
      <c r="I76" s="40"/>
      <c r="J76" s="40"/>
      <c r="K76" s="40"/>
      <c r="L76" s="40"/>
      <c r="M76" s="40"/>
    </row>
    <row r="77" ht="12.75" customHeight="1">
      <c r="E77" s="40"/>
      <c r="F77" s="40"/>
      <c r="G77" s="40"/>
      <c r="H77" s="40"/>
      <c r="I77" s="40"/>
      <c r="J77" s="40"/>
      <c r="K77" s="40"/>
      <c r="L77" s="40"/>
      <c r="M77" s="40"/>
    </row>
    <row r="78" ht="12.75" customHeight="1">
      <c r="E78" s="40"/>
      <c r="F78" s="40"/>
      <c r="G78" s="40"/>
      <c r="H78" s="40"/>
      <c r="I78" s="40"/>
      <c r="J78" s="40"/>
      <c r="K78" s="40"/>
      <c r="L78" s="40"/>
      <c r="M78" s="40"/>
    </row>
    <row r="79" ht="12.75" customHeight="1">
      <c r="E79" s="40"/>
      <c r="F79" s="40"/>
      <c r="G79" s="40"/>
      <c r="H79" s="40"/>
      <c r="I79" s="40"/>
      <c r="J79" s="40"/>
      <c r="K79" s="40"/>
      <c r="L79" s="40"/>
      <c r="M79" s="40"/>
    </row>
    <row r="80" ht="12.75" customHeight="1">
      <c r="E80" s="40"/>
      <c r="F80" s="40"/>
      <c r="G80" s="40"/>
      <c r="H80" s="40"/>
      <c r="I80" s="40"/>
      <c r="J80" s="40"/>
      <c r="K80" s="40"/>
      <c r="L80" s="40"/>
      <c r="M80" s="40"/>
    </row>
    <row r="81" ht="12.75" customHeight="1">
      <c r="E81" s="40"/>
      <c r="F81" s="40"/>
      <c r="G81" s="40"/>
      <c r="H81" s="40"/>
      <c r="I81" s="40"/>
      <c r="J81" s="40"/>
      <c r="K81" s="40"/>
      <c r="L81" s="40"/>
      <c r="M81" s="40"/>
    </row>
    <row r="82" ht="12.75" customHeight="1">
      <c r="E82" s="40"/>
      <c r="F82" s="40"/>
      <c r="G82" s="40"/>
      <c r="H82" s="40"/>
      <c r="I82" s="40"/>
      <c r="J82" s="40"/>
      <c r="K82" s="40"/>
      <c r="L82" s="40"/>
      <c r="M82" s="40"/>
    </row>
    <row r="83" ht="12.75" customHeight="1">
      <c r="E83" s="40"/>
      <c r="F83" s="40"/>
      <c r="G83" s="40"/>
      <c r="H83" s="40"/>
      <c r="I83" s="40"/>
      <c r="J83" s="40"/>
      <c r="K83" s="40"/>
      <c r="L83" s="40"/>
      <c r="M83" s="40"/>
    </row>
    <row r="84" ht="12.75" customHeight="1">
      <c r="E84" s="40"/>
      <c r="F84" s="40"/>
      <c r="G84" s="40"/>
      <c r="H84" s="40"/>
      <c r="I84" s="40"/>
      <c r="J84" s="40"/>
      <c r="K84" s="40"/>
      <c r="L84" s="40"/>
      <c r="M84" s="40"/>
    </row>
    <row r="85" ht="12.75" customHeight="1">
      <c r="E85" s="40"/>
      <c r="F85" s="40"/>
      <c r="G85" s="40"/>
      <c r="H85" s="40"/>
      <c r="I85" s="40"/>
      <c r="J85" s="40"/>
      <c r="K85" s="40"/>
      <c r="L85" s="40"/>
      <c r="M85" s="40"/>
    </row>
    <row r="86" ht="12.75" customHeight="1">
      <c r="E86" s="40"/>
      <c r="F86" s="40"/>
      <c r="G86" s="40"/>
      <c r="H86" s="40"/>
      <c r="I86" s="40"/>
      <c r="J86" s="40"/>
      <c r="K86" s="40"/>
      <c r="L86" s="40"/>
      <c r="M86" s="40"/>
    </row>
    <row r="87" ht="12.75" customHeight="1">
      <c r="E87" s="40"/>
      <c r="F87" s="40"/>
      <c r="G87" s="40"/>
      <c r="H87" s="40"/>
      <c r="I87" s="40"/>
      <c r="J87" s="40"/>
      <c r="K87" s="40"/>
      <c r="L87" s="40"/>
      <c r="M87" s="40"/>
    </row>
    <row r="88" ht="12.75" customHeight="1">
      <c r="E88" s="40"/>
      <c r="F88" s="40"/>
      <c r="G88" s="40"/>
      <c r="H88" s="40"/>
      <c r="I88" s="40"/>
      <c r="J88" s="40"/>
      <c r="K88" s="40"/>
      <c r="L88" s="40"/>
      <c r="M88" s="40"/>
    </row>
    <row r="89" ht="12.75" customHeight="1">
      <c r="E89" s="40"/>
      <c r="F89" s="40"/>
      <c r="G89" s="40"/>
      <c r="H89" s="40"/>
      <c r="I89" s="40"/>
      <c r="J89" s="40"/>
      <c r="K89" s="40"/>
      <c r="L89" s="40"/>
      <c r="M89" s="40"/>
    </row>
    <row r="90" ht="12.75" customHeight="1">
      <c r="E90" s="40"/>
      <c r="F90" s="40"/>
      <c r="G90" s="40"/>
      <c r="H90" s="40"/>
      <c r="I90" s="40"/>
      <c r="J90" s="40"/>
      <c r="K90" s="40"/>
      <c r="L90" s="40"/>
      <c r="M90" s="40"/>
    </row>
    <row r="91" ht="12.75" customHeight="1">
      <c r="E91" s="40"/>
      <c r="F91" s="40"/>
      <c r="G91" s="40"/>
      <c r="H91" s="40"/>
      <c r="I91" s="40"/>
      <c r="J91" s="40"/>
      <c r="K91" s="40"/>
      <c r="L91" s="40"/>
      <c r="M91" s="40"/>
    </row>
    <row r="92" ht="12.75" customHeight="1">
      <c r="E92" s="40"/>
      <c r="F92" s="40"/>
      <c r="G92" s="40"/>
      <c r="H92" s="40"/>
      <c r="I92" s="40"/>
      <c r="J92" s="40"/>
      <c r="K92" s="40"/>
      <c r="L92" s="40"/>
      <c r="M92" s="40"/>
    </row>
    <row r="93" ht="12.75" customHeight="1">
      <c r="E93" s="40"/>
      <c r="F93" s="40"/>
      <c r="G93" s="40"/>
      <c r="H93" s="40"/>
      <c r="I93" s="40"/>
      <c r="J93" s="40"/>
      <c r="K93" s="40"/>
      <c r="L93" s="40"/>
      <c r="M93" s="40"/>
    </row>
    <row r="94" ht="12.75" customHeight="1">
      <c r="E94" s="40"/>
      <c r="F94" s="40"/>
      <c r="G94" s="40"/>
      <c r="H94" s="40"/>
      <c r="I94" s="40"/>
      <c r="J94" s="40"/>
      <c r="K94" s="40"/>
      <c r="L94" s="40"/>
      <c r="M94" s="40"/>
    </row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</sheetData>
  <printOptions/>
  <pageMargins bottom="1.0" footer="0.0" header="0.0" left="0.75" right="0.75" top="1.0"/>
  <pageSetup paperSize="9"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5.38"/>
    <col customWidth="1" min="2" max="2" width="42.63"/>
    <col customWidth="1" hidden="1" min="3" max="3" width="14.13"/>
    <col customWidth="1" hidden="1" min="4" max="4" width="12.13"/>
    <col customWidth="1" min="5" max="5" width="14.13"/>
    <col customWidth="1" min="6" max="7" width="10.63"/>
    <col customWidth="1" min="8" max="8" width="9.88"/>
    <col customWidth="1" min="9" max="9" width="11.88"/>
    <col customWidth="1" min="10" max="10" width="14.0"/>
    <col customWidth="1" hidden="1" min="11" max="11" width="8.13"/>
    <col customWidth="1" min="12" max="12" width="16.13"/>
    <col customWidth="1" min="13" max="13" width="13.63"/>
    <col customWidth="1" hidden="1" min="14" max="14" width="6.88"/>
    <col customWidth="1" min="15" max="15" width="25.38"/>
    <col customWidth="1" min="16" max="26" width="9.13"/>
  </cols>
  <sheetData>
    <row r="1" ht="12.75" customHeight="1">
      <c r="A1" s="78" t="s">
        <v>156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 ht="12.75" customHeight="1">
      <c r="A2" s="19" t="s">
        <v>28</v>
      </c>
      <c r="B2" s="19"/>
      <c r="C2" s="19"/>
      <c r="D2" s="19"/>
      <c r="E2" s="19"/>
      <c r="F2" s="20"/>
      <c r="K2" s="19"/>
      <c r="L2" s="19"/>
    </row>
    <row r="3" ht="12.75" customHeight="1">
      <c r="A3" s="19" t="s">
        <v>29</v>
      </c>
      <c r="B3" s="19"/>
      <c r="K3" s="19"/>
      <c r="L3" s="19"/>
    </row>
    <row r="4" ht="12.75" customHeight="1">
      <c r="A4" s="21" t="s">
        <v>30</v>
      </c>
      <c r="B4" s="21"/>
      <c r="C4" s="21"/>
      <c r="D4" s="21"/>
      <c r="E4" s="22"/>
      <c r="F4" s="22"/>
      <c r="G4" s="22"/>
      <c r="H4" s="22"/>
      <c r="I4" s="22"/>
      <c r="J4" s="22" t="s">
        <v>31</v>
      </c>
      <c r="K4" s="23" t="s">
        <v>32</v>
      </c>
      <c r="L4" s="22" t="s">
        <v>33</v>
      </c>
      <c r="M4" s="22" t="s">
        <v>34</v>
      </c>
      <c r="N4" s="18" t="s">
        <v>32</v>
      </c>
      <c r="O4" s="24" t="s">
        <v>35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 ht="12.75" customHeight="1">
      <c r="A5" s="80">
        <v>1.0</v>
      </c>
      <c r="B5" s="27" t="s">
        <v>157</v>
      </c>
      <c r="C5" s="33"/>
      <c r="D5" s="33"/>
      <c r="E5" s="29">
        <v>2.94</v>
      </c>
      <c r="F5" s="29">
        <v>6.91</v>
      </c>
      <c r="G5" s="29">
        <v>7.67</v>
      </c>
      <c r="H5" s="29">
        <v>3.37</v>
      </c>
      <c r="I5" s="29">
        <v>4.17</v>
      </c>
      <c r="J5" s="30">
        <f t="shared" ref="J5:J42" si="1">IF(MIN(E5:I5)&gt;0,MIN(E5:I5),IF(COUNTBLANK(E5:I5)=5,"","DNF"))</f>
        <v>2.94</v>
      </c>
      <c r="K5" s="30"/>
      <c r="L5" s="30">
        <f t="shared" ref="L5:L42" si="2">IF(COUNTBLANK(E5:I5)&gt;0,"",IF(COUNTIF(E5:I5,"DNF")+COUNTIF(E5:I5,"DNS")&gt;0,"DNF",MAX(E5:I5)))</f>
        <v>7.67</v>
      </c>
      <c r="M5" s="30">
        <f t="shared" ref="M5:M11" si="3">IF(COUNTBLANK(E5:I5)&gt;0,"",IF(COUNTIF(E5:I5,"DNF")+COUNTIF(E5:I5,"DNS")&gt;1,"DNF",ROUND(IF(COUNTIF(E5:I5,"DNF")+COUNTIF(E5:I5,"DNS")&gt;0,(SUM(E5:I5)-J5)/3,(SUM(E5:I5)-J5-L5)/3),2)))</f>
        <v>4.82</v>
      </c>
      <c r="N5" s="25"/>
      <c r="O5" s="31">
        <f t="shared" ref="O5:O43" si="4">M5/86400</f>
        <v>0.00005578703704</v>
      </c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</row>
    <row r="6" ht="12.75" customHeight="1">
      <c r="A6" s="80">
        <v>2.0</v>
      </c>
      <c r="B6" s="27" t="s">
        <v>95</v>
      </c>
      <c r="C6" s="28"/>
      <c r="D6" s="28"/>
      <c r="E6" s="29">
        <v>2.12</v>
      </c>
      <c r="F6" s="29">
        <v>4.51</v>
      </c>
      <c r="G6" s="29">
        <v>8.09</v>
      </c>
      <c r="H6" s="29">
        <v>5.72</v>
      </c>
      <c r="I6" s="29">
        <v>12.64</v>
      </c>
      <c r="J6" s="30">
        <f t="shared" si="1"/>
        <v>2.12</v>
      </c>
      <c r="K6" s="30"/>
      <c r="L6" s="30">
        <f t="shared" si="2"/>
        <v>12.64</v>
      </c>
      <c r="M6" s="30">
        <f t="shared" si="3"/>
        <v>6.11</v>
      </c>
      <c r="N6" s="25"/>
      <c r="O6" s="31">
        <f t="shared" si="4"/>
        <v>0.00007071759259</v>
      </c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</row>
    <row r="7" ht="12.75" customHeight="1">
      <c r="A7" s="80">
        <v>3.0</v>
      </c>
      <c r="B7" s="27" t="s">
        <v>98</v>
      </c>
      <c r="C7" s="28"/>
      <c r="D7" s="28"/>
      <c r="E7" s="29">
        <v>4.3</v>
      </c>
      <c r="F7" s="29">
        <v>8.52</v>
      </c>
      <c r="G7" s="29">
        <v>7.71</v>
      </c>
      <c r="H7" s="29">
        <v>5.76</v>
      </c>
      <c r="I7" s="29">
        <v>5.51</v>
      </c>
      <c r="J7" s="30">
        <f t="shared" si="1"/>
        <v>4.3</v>
      </c>
      <c r="K7" s="30"/>
      <c r="L7" s="30">
        <f t="shared" si="2"/>
        <v>8.52</v>
      </c>
      <c r="M7" s="30">
        <f t="shared" si="3"/>
        <v>6.33</v>
      </c>
      <c r="N7" s="25"/>
      <c r="O7" s="31">
        <f t="shared" si="4"/>
        <v>0.00007326388889</v>
      </c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</row>
    <row r="8" ht="12.75" customHeight="1">
      <c r="A8" s="80">
        <v>4.0</v>
      </c>
      <c r="B8" s="27" t="s">
        <v>103</v>
      </c>
      <c r="C8" s="28"/>
      <c r="D8" s="28"/>
      <c r="E8" s="29">
        <v>6.93</v>
      </c>
      <c r="F8" s="29">
        <v>6.95</v>
      </c>
      <c r="G8" s="29">
        <v>5.73</v>
      </c>
      <c r="H8" s="29">
        <v>6.88</v>
      </c>
      <c r="I8" s="29">
        <v>5.02</v>
      </c>
      <c r="J8" s="30">
        <f t="shared" si="1"/>
        <v>5.02</v>
      </c>
      <c r="K8" s="30"/>
      <c r="L8" s="30">
        <f t="shared" si="2"/>
        <v>6.95</v>
      </c>
      <c r="M8" s="30">
        <f t="shared" si="3"/>
        <v>6.51</v>
      </c>
      <c r="N8" s="25"/>
      <c r="O8" s="31">
        <f t="shared" si="4"/>
        <v>0.00007534722222</v>
      </c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</row>
    <row r="9" ht="12.75" customHeight="1">
      <c r="A9" s="80">
        <v>5.0</v>
      </c>
      <c r="B9" s="27" t="s">
        <v>99</v>
      </c>
      <c r="C9" s="28"/>
      <c r="D9" s="28"/>
      <c r="E9" s="81">
        <v>7.15</v>
      </c>
      <c r="F9" s="29">
        <v>6.16</v>
      </c>
      <c r="G9" s="29">
        <v>7.75</v>
      </c>
      <c r="H9" s="29">
        <v>5.39</v>
      </c>
      <c r="I9" s="29">
        <v>7.21</v>
      </c>
      <c r="J9" s="30">
        <f t="shared" si="1"/>
        <v>5.39</v>
      </c>
      <c r="K9" s="30"/>
      <c r="L9" s="30">
        <f t="shared" si="2"/>
        <v>7.75</v>
      </c>
      <c r="M9" s="30">
        <f t="shared" si="3"/>
        <v>6.84</v>
      </c>
      <c r="N9" s="25"/>
      <c r="O9" s="31">
        <f t="shared" si="4"/>
        <v>0.00007916666667</v>
      </c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 ht="12.75" customHeight="1">
      <c r="A10" s="80">
        <v>6.0</v>
      </c>
      <c r="B10" s="27" t="s">
        <v>100</v>
      </c>
      <c r="C10" s="28"/>
      <c r="D10" s="28"/>
      <c r="E10" s="29">
        <v>4.46</v>
      </c>
      <c r="F10" s="29">
        <v>6.86</v>
      </c>
      <c r="G10" s="29">
        <v>7.78</v>
      </c>
      <c r="H10" s="29">
        <v>7.5</v>
      </c>
      <c r="I10" s="29">
        <v>7.3</v>
      </c>
      <c r="J10" s="30">
        <f t="shared" si="1"/>
        <v>4.46</v>
      </c>
      <c r="K10" s="30"/>
      <c r="L10" s="30">
        <f t="shared" si="2"/>
        <v>7.78</v>
      </c>
      <c r="M10" s="30">
        <f t="shared" si="3"/>
        <v>7.22</v>
      </c>
      <c r="N10" s="25"/>
      <c r="O10" s="31">
        <f t="shared" si="4"/>
        <v>0.00008356481481</v>
      </c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 ht="12.75" customHeight="1">
      <c r="A11" s="80">
        <v>7.0</v>
      </c>
      <c r="B11" s="27" t="s">
        <v>158</v>
      </c>
      <c r="C11" s="28"/>
      <c r="D11" s="28"/>
      <c r="E11" s="29">
        <v>8.5</v>
      </c>
      <c r="F11" s="29">
        <v>16.36</v>
      </c>
      <c r="G11" s="29">
        <v>8.85</v>
      </c>
      <c r="H11" s="29">
        <v>9.53</v>
      </c>
      <c r="I11" s="29">
        <v>10.13</v>
      </c>
      <c r="J11" s="30">
        <f t="shared" si="1"/>
        <v>8.5</v>
      </c>
      <c r="K11" s="30"/>
      <c r="L11" s="30">
        <f t="shared" si="2"/>
        <v>16.36</v>
      </c>
      <c r="M11" s="30">
        <f t="shared" si="3"/>
        <v>9.5</v>
      </c>
      <c r="N11" s="25"/>
      <c r="O11" s="31">
        <f t="shared" si="4"/>
        <v>0.0001099537037</v>
      </c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 ht="12.75" customHeight="1">
      <c r="A12" s="80">
        <v>8.0</v>
      </c>
      <c r="B12" s="27" t="s">
        <v>104</v>
      </c>
      <c r="C12" s="28"/>
      <c r="D12" s="28"/>
      <c r="E12" s="29">
        <v>10.49</v>
      </c>
      <c r="F12" s="29">
        <v>14.98</v>
      </c>
      <c r="G12" s="29">
        <v>8.96</v>
      </c>
      <c r="H12" s="29">
        <v>6.37</v>
      </c>
      <c r="I12" s="29">
        <v>10.81</v>
      </c>
      <c r="J12" s="30">
        <f t="shared" si="1"/>
        <v>6.37</v>
      </c>
      <c r="K12" s="30"/>
      <c r="L12" s="30">
        <f t="shared" si="2"/>
        <v>14.98</v>
      </c>
      <c r="M12" s="30">
        <f>IF(COUNTBLANK(E12:I12)&gt;0,"",IF(COUNTIF(E12:I12,"DNF")+COUNTIF(E12:I12,"DNS")&gt;1,"DNF",IF(COUNTIF(E12:I12,"DNF")+COUNTIF(E12:I12,"DNS")&gt;0,(SUM(E12:I12)-J12)/3,(SUM(E12:I12)-J12-L12)/3)))</f>
        <v>10.08666667</v>
      </c>
      <c r="N12" s="25"/>
      <c r="O12" s="31">
        <f t="shared" si="4"/>
        <v>0.0001167438272</v>
      </c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 ht="12.75" customHeight="1">
      <c r="A13" s="80">
        <v>9.0</v>
      </c>
      <c r="B13" s="27" t="s">
        <v>159</v>
      </c>
      <c r="C13" s="28"/>
      <c r="D13" s="28"/>
      <c r="E13" s="29">
        <v>10.83</v>
      </c>
      <c r="F13" s="29">
        <v>9.81</v>
      </c>
      <c r="G13" s="29">
        <v>9.72</v>
      </c>
      <c r="H13" s="29">
        <v>12.63</v>
      </c>
      <c r="I13" s="29">
        <v>9.39</v>
      </c>
      <c r="J13" s="30">
        <f t="shared" si="1"/>
        <v>9.39</v>
      </c>
      <c r="K13" s="30"/>
      <c r="L13" s="30">
        <f t="shared" si="2"/>
        <v>12.63</v>
      </c>
      <c r="M13" s="30">
        <f t="shared" ref="M13:M40" si="5">IF(COUNTBLANK(E13:I13)&gt;0,"",IF(COUNTIF(E13:I13,"DNF")+COUNTIF(E13:I13,"DNS")&gt;1,"DNF",ROUND(IF(COUNTIF(E13:I13,"DNF")+COUNTIF(E13:I13,"DNS")&gt;0,(SUM(E13:I13)-J13)/3,(SUM(E13:I13)-J13-L13)/3),2)))</f>
        <v>10.12</v>
      </c>
      <c r="N13" s="25"/>
      <c r="O13" s="31">
        <f t="shared" si="4"/>
        <v>0.0001171296296</v>
      </c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 ht="12.75" customHeight="1">
      <c r="A14" s="80">
        <v>10.0</v>
      </c>
      <c r="B14" s="27" t="s">
        <v>160</v>
      </c>
      <c r="C14" s="28"/>
      <c r="D14" s="28"/>
      <c r="E14" s="29">
        <v>8.16</v>
      </c>
      <c r="F14" s="29">
        <v>9.89</v>
      </c>
      <c r="G14" s="29">
        <v>11.74</v>
      </c>
      <c r="H14" s="29">
        <v>9.97</v>
      </c>
      <c r="I14" s="29">
        <v>16.04</v>
      </c>
      <c r="J14" s="30">
        <f t="shared" si="1"/>
        <v>8.16</v>
      </c>
      <c r="K14" s="30"/>
      <c r="L14" s="30">
        <f t="shared" si="2"/>
        <v>16.04</v>
      </c>
      <c r="M14" s="30">
        <f t="shared" si="5"/>
        <v>10.53</v>
      </c>
      <c r="N14" s="25"/>
      <c r="O14" s="31">
        <f t="shared" si="4"/>
        <v>0.000121875</v>
      </c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ht="12.75" customHeight="1">
      <c r="A15" s="80">
        <v>11.0</v>
      </c>
      <c r="B15" s="27" t="s">
        <v>161</v>
      </c>
      <c r="C15" s="28"/>
      <c r="D15" s="28"/>
      <c r="E15" s="29">
        <v>10.67</v>
      </c>
      <c r="F15" s="29">
        <v>11.65</v>
      </c>
      <c r="G15" s="29">
        <v>10.65</v>
      </c>
      <c r="H15" s="29">
        <v>9.1</v>
      </c>
      <c r="I15" s="29">
        <v>11.96</v>
      </c>
      <c r="J15" s="30">
        <f t="shared" si="1"/>
        <v>9.1</v>
      </c>
      <c r="K15" s="30"/>
      <c r="L15" s="30">
        <f t="shared" si="2"/>
        <v>11.96</v>
      </c>
      <c r="M15" s="30">
        <f t="shared" si="5"/>
        <v>10.99</v>
      </c>
      <c r="N15" s="25"/>
      <c r="O15" s="31">
        <f t="shared" si="4"/>
        <v>0.0001271990741</v>
      </c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ht="12.75" customHeight="1">
      <c r="A16" s="80">
        <v>12.0</v>
      </c>
      <c r="B16" s="27" t="s">
        <v>162</v>
      </c>
      <c r="C16" s="33"/>
      <c r="D16" s="33"/>
      <c r="E16" s="34">
        <v>12.82</v>
      </c>
      <c r="F16" s="34">
        <v>9.99</v>
      </c>
      <c r="G16" s="34">
        <v>10.8</v>
      </c>
      <c r="H16" s="34">
        <v>7.29</v>
      </c>
      <c r="I16" s="34">
        <v>15.58</v>
      </c>
      <c r="J16" s="35">
        <f t="shared" si="1"/>
        <v>7.29</v>
      </c>
      <c r="K16" s="35"/>
      <c r="L16" s="35">
        <f t="shared" si="2"/>
        <v>15.58</v>
      </c>
      <c r="M16" s="35">
        <f t="shared" si="5"/>
        <v>11.2</v>
      </c>
      <c r="N16" s="25"/>
      <c r="O16" s="31">
        <f t="shared" si="4"/>
        <v>0.0001296296296</v>
      </c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 ht="12.75" customHeight="1">
      <c r="A17" s="80">
        <v>13.0</v>
      </c>
      <c r="B17" s="27" t="s">
        <v>163</v>
      </c>
      <c r="C17" s="28"/>
      <c r="D17" s="28"/>
      <c r="E17" s="29">
        <v>4.99</v>
      </c>
      <c r="F17" s="29">
        <v>12.74</v>
      </c>
      <c r="G17" s="29">
        <v>11.83</v>
      </c>
      <c r="H17" s="29">
        <v>10.27</v>
      </c>
      <c r="I17" s="29">
        <v>11.99</v>
      </c>
      <c r="J17" s="30">
        <f t="shared" si="1"/>
        <v>4.99</v>
      </c>
      <c r="K17" s="30"/>
      <c r="L17" s="30">
        <f t="shared" si="2"/>
        <v>12.74</v>
      </c>
      <c r="M17" s="30">
        <f t="shared" si="5"/>
        <v>11.36</v>
      </c>
      <c r="N17" s="25"/>
      <c r="O17" s="31">
        <f t="shared" si="4"/>
        <v>0.0001314814815</v>
      </c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 ht="12.75" customHeight="1">
      <c r="A18" s="80">
        <v>14.0</v>
      </c>
      <c r="B18" s="27" t="s">
        <v>164</v>
      </c>
      <c r="C18" s="28"/>
      <c r="D18" s="28"/>
      <c r="E18" s="29">
        <v>9.82</v>
      </c>
      <c r="F18" s="29">
        <v>10.23</v>
      </c>
      <c r="G18" s="29">
        <v>18.76</v>
      </c>
      <c r="H18" s="29">
        <v>10.07</v>
      </c>
      <c r="I18" s="29">
        <v>13.82</v>
      </c>
      <c r="J18" s="30">
        <f t="shared" si="1"/>
        <v>9.82</v>
      </c>
      <c r="K18" s="30"/>
      <c r="L18" s="30">
        <f t="shared" si="2"/>
        <v>18.76</v>
      </c>
      <c r="M18" s="30">
        <f t="shared" si="5"/>
        <v>11.37</v>
      </c>
      <c r="N18" s="25"/>
      <c r="O18" s="31">
        <f t="shared" si="4"/>
        <v>0.0001315972222</v>
      </c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 ht="12.75" customHeight="1">
      <c r="A19" s="80">
        <v>15.0</v>
      </c>
      <c r="B19" s="27" t="s">
        <v>165</v>
      </c>
      <c r="C19" s="33"/>
      <c r="D19" s="33"/>
      <c r="E19" s="29">
        <v>8.54</v>
      </c>
      <c r="F19" s="29">
        <v>11.12</v>
      </c>
      <c r="G19" s="29">
        <v>17.12</v>
      </c>
      <c r="H19" s="29">
        <v>11.48</v>
      </c>
      <c r="I19" s="29">
        <v>12.71</v>
      </c>
      <c r="J19" s="30">
        <f t="shared" si="1"/>
        <v>8.54</v>
      </c>
      <c r="K19" s="30"/>
      <c r="L19" s="30">
        <f t="shared" si="2"/>
        <v>17.12</v>
      </c>
      <c r="M19" s="30">
        <f t="shared" si="5"/>
        <v>11.77</v>
      </c>
      <c r="N19" s="25"/>
      <c r="O19" s="31">
        <f t="shared" si="4"/>
        <v>0.0001362268519</v>
      </c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 ht="12.75" customHeight="1">
      <c r="A20" s="80">
        <v>16.0</v>
      </c>
      <c r="B20" s="27" t="s">
        <v>166</v>
      </c>
      <c r="C20" s="28"/>
      <c r="D20" s="28"/>
      <c r="E20" s="29">
        <v>9.79</v>
      </c>
      <c r="F20" s="29">
        <v>14.76</v>
      </c>
      <c r="G20" s="29">
        <v>13.72</v>
      </c>
      <c r="H20" s="29">
        <v>8.16</v>
      </c>
      <c r="I20" s="29">
        <v>12.4</v>
      </c>
      <c r="J20" s="30">
        <f t="shared" si="1"/>
        <v>8.16</v>
      </c>
      <c r="K20" s="30"/>
      <c r="L20" s="30">
        <f t="shared" si="2"/>
        <v>14.76</v>
      </c>
      <c r="M20" s="30">
        <f t="shared" si="5"/>
        <v>11.97</v>
      </c>
      <c r="N20" s="25"/>
      <c r="O20" s="31">
        <f t="shared" si="4"/>
        <v>0.0001385416667</v>
      </c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 ht="12.75" customHeight="1">
      <c r="A21" s="80">
        <v>17.0</v>
      </c>
      <c r="B21" s="27" t="s">
        <v>101</v>
      </c>
      <c r="C21" s="28"/>
      <c r="D21" s="28"/>
      <c r="E21" s="29">
        <v>13.17</v>
      </c>
      <c r="F21" s="29">
        <v>14.64</v>
      </c>
      <c r="G21" s="29">
        <v>11.41</v>
      </c>
      <c r="H21" s="29">
        <v>9.21</v>
      </c>
      <c r="I21" s="29">
        <v>12.85</v>
      </c>
      <c r="J21" s="30">
        <f t="shared" si="1"/>
        <v>9.21</v>
      </c>
      <c r="K21" s="30"/>
      <c r="L21" s="30">
        <f t="shared" si="2"/>
        <v>14.64</v>
      </c>
      <c r="M21" s="30">
        <f t="shared" si="5"/>
        <v>12.48</v>
      </c>
      <c r="N21" s="25"/>
      <c r="O21" s="31">
        <f t="shared" si="4"/>
        <v>0.0001444444444</v>
      </c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 ht="12.75" customHeight="1">
      <c r="A22" s="80">
        <v>18.0</v>
      </c>
      <c r="B22" s="27" t="s">
        <v>167</v>
      </c>
      <c r="C22" s="28"/>
      <c r="D22" s="28"/>
      <c r="E22" s="29">
        <v>11.05</v>
      </c>
      <c r="F22" s="29">
        <v>15.99</v>
      </c>
      <c r="G22" s="29">
        <v>12.62</v>
      </c>
      <c r="H22" s="29">
        <v>12.0</v>
      </c>
      <c r="I22" s="29">
        <v>13.08</v>
      </c>
      <c r="J22" s="30">
        <f t="shared" si="1"/>
        <v>11.05</v>
      </c>
      <c r="K22" s="30"/>
      <c r="L22" s="30">
        <f t="shared" si="2"/>
        <v>15.99</v>
      </c>
      <c r="M22" s="30">
        <f t="shared" si="5"/>
        <v>12.57</v>
      </c>
      <c r="N22" s="25"/>
      <c r="O22" s="31">
        <f t="shared" si="4"/>
        <v>0.0001454861111</v>
      </c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 ht="12.75" customHeight="1">
      <c r="A23" s="80">
        <v>19.0</v>
      </c>
      <c r="B23" s="27" t="s">
        <v>168</v>
      </c>
      <c r="C23" s="28"/>
      <c r="D23" s="28"/>
      <c r="E23" s="29">
        <v>8.69</v>
      </c>
      <c r="F23" s="29">
        <v>12.63</v>
      </c>
      <c r="G23" s="29">
        <v>11.49</v>
      </c>
      <c r="H23" s="29">
        <v>13.77</v>
      </c>
      <c r="I23" s="29">
        <v>13.66</v>
      </c>
      <c r="J23" s="30">
        <f t="shared" si="1"/>
        <v>8.69</v>
      </c>
      <c r="K23" s="30"/>
      <c r="L23" s="30">
        <f t="shared" si="2"/>
        <v>13.77</v>
      </c>
      <c r="M23" s="30">
        <f t="shared" si="5"/>
        <v>12.59</v>
      </c>
      <c r="N23" s="25"/>
      <c r="O23" s="31">
        <f t="shared" si="4"/>
        <v>0.0001457175926</v>
      </c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 ht="12.75" customHeight="1">
      <c r="A24" s="80">
        <v>20.0</v>
      </c>
      <c r="B24" s="27" t="s">
        <v>169</v>
      </c>
      <c r="C24" s="41"/>
      <c r="D24" s="41"/>
      <c r="E24" s="29">
        <v>8.99</v>
      </c>
      <c r="F24" s="29">
        <v>10.9</v>
      </c>
      <c r="G24" s="29">
        <v>10.8</v>
      </c>
      <c r="H24" s="29">
        <v>16.4</v>
      </c>
      <c r="I24" s="29">
        <v>16.57</v>
      </c>
      <c r="J24" s="30">
        <f t="shared" si="1"/>
        <v>8.99</v>
      </c>
      <c r="K24" s="30"/>
      <c r="L24" s="30">
        <f t="shared" si="2"/>
        <v>16.57</v>
      </c>
      <c r="M24" s="30">
        <f t="shared" si="5"/>
        <v>12.7</v>
      </c>
      <c r="N24" s="25"/>
      <c r="O24" s="31">
        <f t="shared" si="4"/>
        <v>0.0001469907407</v>
      </c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 ht="12.75" customHeight="1">
      <c r="A25" s="80">
        <v>21.0</v>
      </c>
      <c r="B25" s="27" t="s">
        <v>170</v>
      </c>
      <c r="C25" s="28"/>
      <c r="D25" s="28"/>
      <c r="E25" s="29">
        <v>14.25</v>
      </c>
      <c r="F25" s="29">
        <v>26.93</v>
      </c>
      <c r="G25" s="29">
        <v>10.4</v>
      </c>
      <c r="H25" s="29">
        <v>10.81</v>
      </c>
      <c r="I25" s="29">
        <v>14.57</v>
      </c>
      <c r="J25" s="30">
        <f t="shared" si="1"/>
        <v>10.4</v>
      </c>
      <c r="K25" s="30"/>
      <c r="L25" s="30">
        <f t="shared" si="2"/>
        <v>26.93</v>
      </c>
      <c r="M25" s="30">
        <f t="shared" si="5"/>
        <v>13.21</v>
      </c>
      <c r="N25" s="25"/>
      <c r="O25" s="31">
        <f t="shared" si="4"/>
        <v>0.0001528935185</v>
      </c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 ht="12.75" customHeight="1">
      <c r="A26" s="80">
        <v>22.0</v>
      </c>
      <c r="B26" s="27" t="s">
        <v>171</v>
      </c>
      <c r="C26" s="28"/>
      <c r="D26" s="28"/>
      <c r="E26" s="29">
        <v>8.64</v>
      </c>
      <c r="F26" s="29">
        <v>14.36</v>
      </c>
      <c r="G26" s="29">
        <v>11.0</v>
      </c>
      <c r="H26" s="29">
        <v>15.09</v>
      </c>
      <c r="I26" s="29">
        <v>20.71</v>
      </c>
      <c r="J26" s="30">
        <f t="shared" si="1"/>
        <v>8.64</v>
      </c>
      <c r="K26" s="30"/>
      <c r="L26" s="30">
        <f t="shared" si="2"/>
        <v>20.71</v>
      </c>
      <c r="M26" s="30">
        <f t="shared" si="5"/>
        <v>13.48</v>
      </c>
      <c r="N26" s="25"/>
      <c r="O26" s="31">
        <f t="shared" si="4"/>
        <v>0.0001560185185</v>
      </c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 ht="12.75" customHeight="1">
      <c r="A27" s="80">
        <v>23.0</v>
      </c>
      <c r="B27" s="27" t="s">
        <v>172</v>
      </c>
      <c r="C27" s="28"/>
      <c r="D27" s="28"/>
      <c r="E27" s="29">
        <v>17.9</v>
      </c>
      <c r="F27" s="29">
        <v>10.88</v>
      </c>
      <c r="G27" s="29">
        <v>13.2</v>
      </c>
      <c r="H27" s="29" t="s">
        <v>49</v>
      </c>
      <c r="I27" s="29">
        <v>10.13</v>
      </c>
      <c r="J27" s="30">
        <f t="shared" si="1"/>
        <v>10.13</v>
      </c>
      <c r="K27" s="30"/>
      <c r="L27" s="30" t="str">
        <f t="shared" si="2"/>
        <v>DNF</v>
      </c>
      <c r="M27" s="30">
        <f t="shared" si="5"/>
        <v>13.99</v>
      </c>
      <c r="N27" s="25"/>
      <c r="O27" s="31">
        <f t="shared" si="4"/>
        <v>0.0001619212963</v>
      </c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 ht="12.75" customHeight="1">
      <c r="A28" s="80">
        <v>24.0</v>
      </c>
      <c r="B28" s="27" t="s">
        <v>173</v>
      </c>
      <c r="C28" s="28"/>
      <c r="D28" s="28"/>
      <c r="E28" s="29">
        <v>15.11</v>
      </c>
      <c r="F28" s="29">
        <v>10.41</v>
      </c>
      <c r="G28" s="29">
        <v>17.38</v>
      </c>
      <c r="H28" s="29">
        <v>11.21</v>
      </c>
      <c r="I28" s="29">
        <v>17.02</v>
      </c>
      <c r="J28" s="30">
        <f t="shared" si="1"/>
        <v>10.41</v>
      </c>
      <c r="K28" s="30"/>
      <c r="L28" s="30">
        <f t="shared" si="2"/>
        <v>17.38</v>
      </c>
      <c r="M28" s="30">
        <f t="shared" si="5"/>
        <v>14.45</v>
      </c>
      <c r="N28" s="25"/>
      <c r="O28" s="31">
        <f t="shared" si="4"/>
        <v>0.0001672453704</v>
      </c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ht="12.75" customHeight="1">
      <c r="A29" s="80">
        <v>25.0</v>
      </c>
      <c r="B29" s="27" t="s">
        <v>174</v>
      </c>
      <c r="C29" s="28"/>
      <c r="D29" s="28"/>
      <c r="E29" s="29" t="s">
        <v>49</v>
      </c>
      <c r="F29" s="29">
        <v>17.92</v>
      </c>
      <c r="G29" s="29">
        <v>12.23</v>
      </c>
      <c r="H29" s="29">
        <v>14.85</v>
      </c>
      <c r="I29" s="29">
        <v>12.17</v>
      </c>
      <c r="J29" s="30">
        <f t="shared" si="1"/>
        <v>12.17</v>
      </c>
      <c r="K29" s="30"/>
      <c r="L29" s="30" t="str">
        <f t="shared" si="2"/>
        <v>DNF</v>
      </c>
      <c r="M29" s="30">
        <f t="shared" si="5"/>
        <v>15</v>
      </c>
      <c r="N29" s="25"/>
      <c r="O29" s="31">
        <f t="shared" si="4"/>
        <v>0.0001736111111</v>
      </c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 ht="12.75" customHeight="1">
      <c r="A30" s="80">
        <v>26.0</v>
      </c>
      <c r="B30" s="27" t="s">
        <v>175</v>
      </c>
      <c r="C30" s="28"/>
      <c r="D30" s="28"/>
      <c r="E30" s="29">
        <v>4.11</v>
      </c>
      <c r="F30" s="29">
        <v>11.68</v>
      </c>
      <c r="G30" s="29">
        <v>22.25</v>
      </c>
      <c r="H30" s="29">
        <v>22.03</v>
      </c>
      <c r="I30" s="29">
        <v>13.74</v>
      </c>
      <c r="J30" s="30">
        <f t="shared" si="1"/>
        <v>4.11</v>
      </c>
      <c r="K30" s="30"/>
      <c r="L30" s="30">
        <f t="shared" si="2"/>
        <v>22.25</v>
      </c>
      <c r="M30" s="30">
        <f t="shared" si="5"/>
        <v>15.82</v>
      </c>
      <c r="N30" s="25"/>
      <c r="O30" s="31">
        <f t="shared" si="4"/>
        <v>0.0001831018519</v>
      </c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 ht="12.75" customHeight="1">
      <c r="A31" s="80">
        <v>27.0</v>
      </c>
      <c r="B31" s="27" t="s">
        <v>176</v>
      </c>
      <c r="C31" s="28"/>
      <c r="D31" s="28"/>
      <c r="E31" s="29">
        <v>13.24</v>
      </c>
      <c r="F31" s="29">
        <v>25.66</v>
      </c>
      <c r="G31" s="29">
        <v>16.1</v>
      </c>
      <c r="H31" s="29">
        <v>16.91</v>
      </c>
      <c r="I31" s="29">
        <v>17.01</v>
      </c>
      <c r="J31" s="30">
        <f t="shared" si="1"/>
        <v>13.24</v>
      </c>
      <c r="K31" s="30"/>
      <c r="L31" s="30">
        <f t="shared" si="2"/>
        <v>25.66</v>
      </c>
      <c r="M31" s="30">
        <f t="shared" si="5"/>
        <v>16.67</v>
      </c>
      <c r="N31" s="25"/>
      <c r="O31" s="31">
        <f t="shared" si="4"/>
        <v>0.0001929398148</v>
      </c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 ht="12.75" customHeight="1">
      <c r="A32" s="80">
        <v>28.0</v>
      </c>
      <c r="B32" s="27" t="s">
        <v>177</v>
      </c>
      <c r="C32" s="28"/>
      <c r="D32" s="28"/>
      <c r="E32" s="29">
        <v>15.89</v>
      </c>
      <c r="F32" s="29">
        <v>10.91</v>
      </c>
      <c r="G32" s="29">
        <v>20.07</v>
      </c>
      <c r="H32" s="29">
        <v>17.4</v>
      </c>
      <c r="I32" s="29">
        <v>18.15</v>
      </c>
      <c r="J32" s="30">
        <f t="shared" si="1"/>
        <v>10.91</v>
      </c>
      <c r="K32" s="30"/>
      <c r="L32" s="30">
        <f t="shared" si="2"/>
        <v>20.07</v>
      </c>
      <c r="M32" s="30">
        <f t="shared" si="5"/>
        <v>17.15</v>
      </c>
      <c r="N32" s="25"/>
      <c r="O32" s="31">
        <f t="shared" si="4"/>
        <v>0.0001984953704</v>
      </c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 ht="12.75" customHeight="1">
      <c r="A33" s="80">
        <v>29.0</v>
      </c>
      <c r="B33" s="27" t="s">
        <v>178</v>
      </c>
      <c r="C33" s="33"/>
      <c r="D33" s="33"/>
      <c r="E33" s="29">
        <v>20.28</v>
      </c>
      <c r="F33" s="29">
        <v>14.35</v>
      </c>
      <c r="G33" s="29">
        <v>20.81</v>
      </c>
      <c r="H33" s="29">
        <v>17.34</v>
      </c>
      <c r="I33" s="29">
        <v>14.43</v>
      </c>
      <c r="J33" s="30">
        <f t="shared" si="1"/>
        <v>14.35</v>
      </c>
      <c r="K33" s="30"/>
      <c r="L33" s="30">
        <f t="shared" si="2"/>
        <v>20.81</v>
      </c>
      <c r="M33" s="30">
        <f t="shared" si="5"/>
        <v>17.35</v>
      </c>
      <c r="N33" s="25"/>
      <c r="O33" s="31">
        <f t="shared" si="4"/>
        <v>0.0002008101852</v>
      </c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ht="12.75" customHeight="1">
      <c r="A34" s="80">
        <v>30.0</v>
      </c>
      <c r="B34" s="27" t="s">
        <v>179</v>
      </c>
      <c r="C34" s="28"/>
      <c r="D34" s="28"/>
      <c r="E34" s="29">
        <v>17.09</v>
      </c>
      <c r="F34" s="29">
        <v>15.97</v>
      </c>
      <c r="G34" s="29">
        <v>24.23</v>
      </c>
      <c r="H34" s="29">
        <v>20.45</v>
      </c>
      <c r="I34" s="29">
        <v>15.41</v>
      </c>
      <c r="J34" s="30">
        <f t="shared" si="1"/>
        <v>15.41</v>
      </c>
      <c r="K34" s="30"/>
      <c r="L34" s="30">
        <f t="shared" si="2"/>
        <v>24.23</v>
      </c>
      <c r="M34" s="30">
        <f t="shared" si="5"/>
        <v>17.84</v>
      </c>
      <c r="N34" s="25"/>
      <c r="O34" s="31">
        <f t="shared" si="4"/>
        <v>0.0002064814815</v>
      </c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 ht="12.75" customHeight="1">
      <c r="A35" s="80">
        <v>31.0</v>
      </c>
      <c r="B35" s="27" t="s">
        <v>180</v>
      </c>
      <c r="C35" s="28"/>
      <c r="D35" s="28"/>
      <c r="E35" s="29">
        <v>15.78</v>
      </c>
      <c r="F35" s="29">
        <v>20.69</v>
      </c>
      <c r="G35" s="29">
        <v>17.72</v>
      </c>
      <c r="H35" s="29">
        <v>15.4</v>
      </c>
      <c r="I35" s="29">
        <v>23.46</v>
      </c>
      <c r="J35" s="30">
        <f t="shared" si="1"/>
        <v>15.4</v>
      </c>
      <c r="K35" s="30"/>
      <c r="L35" s="30">
        <f t="shared" si="2"/>
        <v>23.46</v>
      </c>
      <c r="M35" s="30">
        <f t="shared" si="5"/>
        <v>18.06</v>
      </c>
      <c r="N35" s="25"/>
      <c r="O35" s="31">
        <f t="shared" si="4"/>
        <v>0.0002090277778</v>
      </c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 ht="12.75" customHeight="1">
      <c r="A36" s="80">
        <v>32.0</v>
      </c>
      <c r="B36" s="27" t="s">
        <v>181</v>
      </c>
      <c r="C36" s="28"/>
      <c r="D36" s="28"/>
      <c r="E36" s="29">
        <v>22.16</v>
      </c>
      <c r="F36" s="29">
        <v>28.6</v>
      </c>
      <c r="G36" s="29" t="s">
        <v>49</v>
      </c>
      <c r="H36" s="29">
        <v>19.09</v>
      </c>
      <c r="I36" s="29">
        <v>23.03</v>
      </c>
      <c r="J36" s="30">
        <f t="shared" si="1"/>
        <v>19.09</v>
      </c>
      <c r="K36" s="30"/>
      <c r="L36" s="30" t="str">
        <f t="shared" si="2"/>
        <v>DNF</v>
      </c>
      <c r="M36" s="30">
        <f t="shared" si="5"/>
        <v>24.6</v>
      </c>
      <c r="N36" s="25"/>
      <c r="O36" s="31">
        <f t="shared" si="4"/>
        <v>0.0002847222222</v>
      </c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 ht="12.75" customHeight="1">
      <c r="A37" s="80">
        <v>33.0</v>
      </c>
      <c r="B37" s="27" t="s">
        <v>182</v>
      </c>
      <c r="C37" s="28"/>
      <c r="D37" s="28"/>
      <c r="E37" s="29">
        <v>28.6</v>
      </c>
      <c r="F37" s="29">
        <v>31.67</v>
      </c>
      <c r="G37" s="29">
        <v>20.97</v>
      </c>
      <c r="H37" s="29">
        <v>23.74</v>
      </c>
      <c r="I37" s="29">
        <v>41.66</v>
      </c>
      <c r="J37" s="30">
        <f t="shared" si="1"/>
        <v>20.97</v>
      </c>
      <c r="K37" s="30"/>
      <c r="L37" s="30">
        <f t="shared" si="2"/>
        <v>41.66</v>
      </c>
      <c r="M37" s="30">
        <f t="shared" si="5"/>
        <v>28</v>
      </c>
      <c r="N37" s="25"/>
      <c r="O37" s="31">
        <f t="shared" si="4"/>
        <v>0.0003240740741</v>
      </c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ht="12.75" customHeight="1">
      <c r="A38" s="80">
        <v>34.0</v>
      </c>
      <c r="B38" s="27" t="s">
        <v>183</v>
      </c>
      <c r="C38" s="28"/>
      <c r="D38" s="28"/>
      <c r="E38" s="29">
        <v>22.18</v>
      </c>
      <c r="F38" s="29">
        <v>39.46</v>
      </c>
      <c r="G38" s="29">
        <v>44.54</v>
      </c>
      <c r="H38" s="29">
        <v>16.63</v>
      </c>
      <c r="I38" s="29">
        <v>32.95</v>
      </c>
      <c r="J38" s="30">
        <f t="shared" si="1"/>
        <v>16.63</v>
      </c>
      <c r="K38" s="30"/>
      <c r="L38" s="30">
        <f t="shared" si="2"/>
        <v>44.54</v>
      </c>
      <c r="M38" s="30">
        <f t="shared" si="5"/>
        <v>31.53</v>
      </c>
      <c r="N38" s="25"/>
      <c r="O38" s="31">
        <f t="shared" si="4"/>
        <v>0.0003649305556</v>
      </c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 ht="12.75" customHeight="1">
      <c r="A39" s="55">
        <v>37.0</v>
      </c>
      <c r="B39" s="36"/>
      <c r="C39" s="28"/>
      <c r="D39" s="28"/>
      <c r="E39" s="30"/>
      <c r="F39" s="30"/>
      <c r="G39" s="30"/>
      <c r="H39" s="30"/>
      <c r="I39" s="30"/>
      <c r="J39" s="30" t="str">
        <f t="shared" si="1"/>
        <v/>
      </c>
      <c r="K39" s="30"/>
      <c r="L39" s="30" t="str">
        <f t="shared" si="2"/>
        <v/>
      </c>
      <c r="M39" s="30" t="str">
        <f t="shared" si="5"/>
        <v/>
      </c>
      <c r="N39" s="25"/>
      <c r="O39" s="31">
        <f t="shared" si="4"/>
        <v>0</v>
      </c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 ht="12.75" customHeight="1">
      <c r="A40" s="55">
        <f>IF(AND(M39=M40,J39=J40),A39,ROW()-4)</f>
        <v>37</v>
      </c>
      <c r="B40" s="36"/>
      <c r="C40" s="28"/>
      <c r="D40" s="28"/>
      <c r="E40" s="30"/>
      <c r="F40" s="30"/>
      <c r="G40" s="30"/>
      <c r="H40" s="30"/>
      <c r="I40" s="30"/>
      <c r="J40" s="30" t="str">
        <f t="shared" si="1"/>
        <v/>
      </c>
      <c r="K40" s="30"/>
      <c r="L40" s="30" t="str">
        <f t="shared" si="2"/>
        <v/>
      </c>
      <c r="M40" s="30" t="str">
        <f t="shared" si="5"/>
        <v/>
      </c>
      <c r="N40" s="25"/>
      <c r="O40" s="31">
        <f t="shared" si="4"/>
        <v>0</v>
      </c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 ht="12.75" customHeight="1">
      <c r="A41" s="55">
        <v>15.0</v>
      </c>
      <c r="B41" s="36"/>
      <c r="C41" s="70"/>
      <c r="D41" s="70"/>
      <c r="E41" s="44"/>
      <c r="F41" s="44"/>
      <c r="G41" s="44"/>
      <c r="H41" s="44"/>
      <c r="I41" s="44"/>
      <c r="J41" s="44" t="str">
        <f t="shared" si="1"/>
        <v/>
      </c>
      <c r="K41" s="82"/>
      <c r="L41" s="44" t="str">
        <f t="shared" si="2"/>
        <v/>
      </c>
      <c r="M41" s="44" t="str">
        <f>IF(COUNTBLANK(E41:I41)&gt;0,"",IF(COUNTIF(E41:I41,"DNF")+COUNTIF(E41:I41,"DNS")&gt;1,"DNF",IF(COUNTIF(E41:I41,"DNF")+COUNTIF(E41:I41,"DNS")&gt;0,(SUM(E41:I41)-J41)/3,(SUM(E41:I41)-J41-L41)/3)))</f>
        <v/>
      </c>
      <c r="N41" s="25"/>
      <c r="O41" s="31">
        <f t="shared" si="4"/>
        <v>0</v>
      </c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 ht="12.75" customHeight="1">
      <c r="A42" s="70"/>
      <c r="B42" s="70"/>
      <c r="E42" s="35"/>
      <c r="F42" s="35"/>
      <c r="G42" s="35"/>
      <c r="H42" s="35"/>
      <c r="I42" s="35"/>
      <c r="J42" s="35" t="str">
        <f t="shared" si="1"/>
        <v/>
      </c>
      <c r="K42" s="83"/>
      <c r="L42" s="35" t="str">
        <f t="shared" si="2"/>
        <v/>
      </c>
      <c r="M42" s="35" t="str">
        <f>IF(COUNTBLANK(E42:I42)&gt;0,"",IF(COUNTIF(E42:I42,"DNF")+COUNTIF(E42:I42,"DNS")&gt;1,"DNF",ROUND(IF(COUNTIF(E42:I42,"DNF")+COUNTIF(E42:I42,"DNS")&gt;0,(SUM(E42:I42)-J42)/3,(SUM(E42:I42)-J42-L42)/3),2)))</f>
        <v/>
      </c>
      <c r="N42" s="25"/>
      <c r="O42" s="31">
        <f t="shared" si="4"/>
        <v>0</v>
      </c>
    </row>
    <row r="43" ht="12.75" customHeight="1">
      <c r="A43" s="84"/>
      <c r="B43" s="85"/>
      <c r="C43" s="39"/>
      <c r="D43" s="39"/>
      <c r="E43" s="29"/>
      <c r="F43" s="29"/>
      <c r="G43" s="29"/>
      <c r="H43" s="29"/>
      <c r="I43" s="29"/>
      <c r="J43" s="30"/>
      <c r="K43" s="30"/>
      <c r="L43" s="30"/>
      <c r="M43" s="30"/>
      <c r="N43" s="25"/>
      <c r="O43" s="31">
        <f t="shared" si="4"/>
        <v>0</v>
      </c>
    </row>
    <row r="44" ht="12.75" customHeight="1">
      <c r="E44" s="40"/>
      <c r="F44" s="40"/>
      <c r="G44" s="40"/>
      <c r="H44" s="40"/>
      <c r="I44" s="40"/>
      <c r="J44" s="40"/>
      <c r="K44" s="40"/>
      <c r="L44" s="40"/>
      <c r="M44" s="40"/>
    </row>
    <row r="45" ht="12.75" customHeight="1">
      <c r="E45" s="40"/>
      <c r="F45" s="40"/>
      <c r="G45" s="40"/>
      <c r="H45" s="40"/>
      <c r="I45" s="40"/>
      <c r="J45" s="40"/>
      <c r="K45" s="40"/>
      <c r="L45" s="40"/>
      <c r="M45" s="40"/>
    </row>
    <row r="46" ht="12.75" customHeight="1">
      <c r="E46" s="40"/>
      <c r="F46" s="40"/>
      <c r="G46" s="40"/>
      <c r="H46" s="40"/>
      <c r="I46" s="40"/>
      <c r="J46" s="40"/>
      <c r="K46" s="40"/>
      <c r="L46" s="40"/>
      <c r="M46" s="40"/>
    </row>
    <row r="47" ht="12.75" customHeight="1">
      <c r="E47" s="40"/>
      <c r="F47" s="40"/>
      <c r="G47" s="40"/>
      <c r="H47" s="40"/>
      <c r="I47" s="40"/>
      <c r="J47" s="40"/>
      <c r="K47" s="40"/>
      <c r="L47" s="40"/>
      <c r="M47" s="40"/>
    </row>
    <row r="48" ht="12.75" customHeight="1">
      <c r="E48" s="40"/>
      <c r="F48" s="40"/>
      <c r="G48" s="40"/>
      <c r="H48" s="40"/>
      <c r="I48" s="40"/>
      <c r="J48" s="40"/>
      <c r="K48" s="40"/>
      <c r="L48" s="40"/>
      <c r="M48" s="40"/>
    </row>
    <row r="49" ht="12.75" customHeight="1">
      <c r="E49" s="40"/>
      <c r="F49" s="40"/>
      <c r="G49" s="40"/>
      <c r="H49" s="40"/>
      <c r="I49" s="40"/>
      <c r="J49" s="40"/>
      <c r="K49" s="40"/>
      <c r="L49" s="40"/>
      <c r="M49" s="40"/>
    </row>
    <row r="50" ht="12.75" customHeight="1">
      <c r="E50" s="40"/>
      <c r="F50" s="40"/>
      <c r="G50" s="40"/>
      <c r="H50" s="40"/>
      <c r="I50" s="40"/>
      <c r="J50" s="40"/>
      <c r="K50" s="40"/>
      <c r="L50" s="40"/>
      <c r="M50" s="40"/>
    </row>
    <row r="51" ht="12.75" customHeight="1">
      <c r="E51" s="40"/>
      <c r="F51" s="40"/>
      <c r="G51" s="40"/>
      <c r="H51" s="40"/>
      <c r="I51" s="40"/>
      <c r="J51" s="40"/>
      <c r="K51" s="40"/>
      <c r="L51" s="40"/>
      <c r="M51" s="40"/>
    </row>
    <row r="52" ht="12.75" customHeight="1">
      <c r="E52" s="40"/>
      <c r="F52" s="40"/>
      <c r="G52" s="40"/>
      <c r="H52" s="40"/>
      <c r="I52" s="40"/>
      <c r="J52" s="40"/>
      <c r="K52" s="40"/>
      <c r="L52" s="40"/>
      <c r="M52" s="40"/>
    </row>
    <row r="53" ht="12.75" customHeight="1">
      <c r="E53" s="40"/>
      <c r="F53" s="40"/>
      <c r="G53" s="40"/>
      <c r="H53" s="40"/>
      <c r="I53" s="40"/>
      <c r="J53" s="40"/>
      <c r="K53" s="40"/>
      <c r="L53" s="40"/>
      <c r="M53" s="40"/>
    </row>
    <row r="54" ht="12.75" customHeight="1">
      <c r="E54" s="40"/>
      <c r="F54" s="40"/>
      <c r="G54" s="40"/>
      <c r="H54" s="40"/>
      <c r="I54" s="40"/>
      <c r="J54" s="40"/>
      <c r="K54" s="40"/>
      <c r="L54" s="40"/>
      <c r="M54" s="40"/>
    </row>
    <row r="55" ht="12.75" customHeight="1">
      <c r="E55" s="40"/>
      <c r="F55" s="40"/>
      <c r="G55" s="40"/>
      <c r="H55" s="40"/>
      <c r="I55" s="40"/>
      <c r="J55" s="40"/>
      <c r="K55" s="40"/>
      <c r="L55" s="40"/>
      <c r="M55" s="40"/>
    </row>
    <row r="56" ht="12.75" customHeight="1">
      <c r="E56" s="40"/>
      <c r="F56" s="40"/>
      <c r="G56" s="40"/>
      <c r="H56" s="40"/>
      <c r="I56" s="40"/>
      <c r="J56" s="40"/>
      <c r="K56" s="40"/>
      <c r="L56" s="40"/>
      <c r="M56" s="40"/>
    </row>
    <row r="57" ht="12.75" customHeight="1">
      <c r="E57" s="40"/>
      <c r="F57" s="40"/>
      <c r="G57" s="40"/>
      <c r="H57" s="40"/>
      <c r="I57" s="40"/>
      <c r="J57" s="40"/>
      <c r="K57" s="40"/>
      <c r="L57" s="40"/>
      <c r="M57" s="40"/>
    </row>
    <row r="58" ht="12.75" customHeight="1">
      <c r="E58" s="40"/>
      <c r="F58" s="40"/>
      <c r="G58" s="40"/>
      <c r="H58" s="40"/>
      <c r="I58" s="40"/>
      <c r="J58" s="40"/>
      <c r="K58" s="40"/>
      <c r="L58" s="40"/>
      <c r="M58" s="40"/>
    </row>
    <row r="59" ht="12.75" customHeight="1">
      <c r="E59" s="40"/>
      <c r="F59" s="40"/>
      <c r="G59" s="40"/>
      <c r="H59" s="40"/>
      <c r="I59" s="40"/>
      <c r="J59" s="40"/>
      <c r="K59" s="40"/>
      <c r="L59" s="40"/>
      <c r="M59" s="40"/>
    </row>
    <row r="60" ht="12.75" customHeight="1">
      <c r="E60" s="40"/>
      <c r="F60" s="40"/>
      <c r="G60" s="40"/>
      <c r="H60" s="40"/>
      <c r="I60" s="40"/>
      <c r="J60" s="40"/>
      <c r="K60" s="40"/>
      <c r="L60" s="40"/>
      <c r="M60" s="40"/>
    </row>
    <row r="61" ht="12.75" customHeight="1">
      <c r="E61" s="40"/>
      <c r="F61" s="40"/>
      <c r="G61" s="40"/>
      <c r="H61" s="40"/>
      <c r="I61" s="40"/>
      <c r="J61" s="40"/>
      <c r="K61" s="40"/>
      <c r="L61" s="40"/>
      <c r="M61" s="40"/>
    </row>
    <row r="62" ht="12.75" customHeight="1">
      <c r="E62" s="40"/>
      <c r="F62" s="40"/>
      <c r="G62" s="40"/>
      <c r="H62" s="40"/>
      <c r="I62" s="40"/>
      <c r="J62" s="40"/>
      <c r="K62" s="40"/>
      <c r="L62" s="40"/>
      <c r="M62" s="40"/>
    </row>
    <row r="63" ht="12.75" customHeight="1">
      <c r="E63" s="40"/>
      <c r="F63" s="40"/>
      <c r="G63" s="40"/>
      <c r="H63" s="40"/>
      <c r="I63" s="40"/>
      <c r="J63" s="40"/>
      <c r="K63" s="40"/>
      <c r="L63" s="40"/>
      <c r="M63" s="40"/>
    </row>
    <row r="64" ht="12.75" customHeight="1">
      <c r="E64" s="40"/>
      <c r="F64" s="40"/>
      <c r="G64" s="40"/>
      <c r="H64" s="40"/>
      <c r="I64" s="40"/>
      <c r="J64" s="40"/>
      <c r="K64" s="40"/>
      <c r="L64" s="40"/>
      <c r="M64" s="40"/>
    </row>
    <row r="65" ht="12.75" customHeight="1">
      <c r="E65" s="40"/>
      <c r="F65" s="40"/>
      <c r="G65" s="40"/>
      <c r="H65" s="40"/>
      <c r="I65" s="40"/>
      <c r="J65" s="40"/>
      <c r="K65" s="40"/>
      <c r="L65" s="40"/>
      <c r="M65" s="40"/>
    </row>
    <row r="66" ht="12.75" customHeight="1">
      <c r="E66" s="40"/>
      <c r="F66" s="40"/>
      <c r="G66" s="40"/>
      <c r="H66" s="40"/>
      <c r="I66" s="40"/>
      <c r="J66" s="40"/>
      <c r="K66" s="40"/>
      <c r="L66" s="40"/>
      <c r="M66" s="40"/>
    </row>
    <row r="67" ht="12.75" customHeight="1">
      <c r="E67" s="40"/>
      <c r="F67" s="40"/>
      <c r="G67" s="40"/>
      <c r="H67" s="40"/>
      <c r="I67" s="40"/>
      <c r="J67" s="40"/>
      <c r="K67" s="40"/>
      <c r="L67" s="40"/>
      <c r="M67" s="40"/>
    </row>
    <row r="68" ht="12.75" customHeight="1">
      <c r="E68" s="40"/>
      <c r="F68" s="40"/>
      <c r="G68" s="40"/>
      <c r="H68" s="40"/>
      <c r="I68" s="40"/>
      <c r="J68" s="40"/>
      <c r="K68" s="40"/>
      <c r="L68" s="40"/>
      <c r="M68" s="40"/>
    </row>
    <row r="69" ht="12.75" customHeight="1">
      <c r="E69" s="40"/>
      <c r="F69" s="40"/>
      <c r="G69" s="40"/>
      <c r="H69" s="40"/>
      <c r="I69" s="40"/>
      <c r="J69" s="40"/>
      <c r="K69" s="40"/>
      <c r="L69" s="40"/>
      <c r="M69" s="40"/>
    </row>
    <row r="70" ht="12.75" customHeight="1">
      <c r="E70" s="40"/>
      <c r="F70" s="40"/>
      <c r="G70" s="40"/>
      <c r="H70" s="40"/>
      <c r="I70" s="40"/>
      <c r="J70" s="40"/>
      <c r="K70" s="40"/>
      <c r="L70" s="40"/>
      <c r="M70" s="40"/>
    </row>
    <row r="71" ht="12.75" customHeight="1">
      <c r="E71" s="40"/>
      <c r="F71" s="40"/>
      <c r="G71" s="40"/>
      <c r="H71" s="40"/>
      <c r="I71" s="40"/>
      <c r="J71" s="40"/>
      <c r="K71" s="40"/>
      <c r="L71" s="40"/>
      <c r="M71" s="40"/>
    </row>
    <row r="72" ht="12.75" customHeight="1">
      <c r="E72" s="40"/>
      <c r="F72" s="40"/>
      <c r="G72" s="40"/>
      <c r="H72" s="40"/>
      <c r="I72" s="40"/>
      <c r="J72" s="40"/>
      <c r="K72" s="40"/>
      <c r="L72" s="40"/>
      <c r="M72" s="40"/>
    </row>
    <row r="73" ht="12.75" customHeight="1">
      <c r="E73" s="40"/>
      <c r="F73" s="40"/>
      <c r="G73" s="40"/>
      <c r="H73" s="40"/>
      <c r="I73" s="40"/>
      <c r="J73" s="40"/>
      <c r="K73" s="40"/>
      <c r="L73" s="40"/>
      <c r="M73" s="40"/>
    </row>
    <row r="74" ht="12.75" customHeight="1">
      <c r="E74" s="40"/>
      <c r="F74" s="40"/>
      <c r="G74" s="40"/>
      <c r="H74" s="40"/>
      <c r="I74" s="40"/>
      <c r="J74" s="40"/>
      <c r="K74" s="40"/>
      <c r="L74" s="40"/>
      <c r="M74" s="40"/>
    </row>
    <row r="75" ht="12.75" customHeight="1">
      <c r="E75" s="40"/>
      <c r="F75" s="40"/>
      <c r="G75" s="40"/>
      <c r="H75" s="40"/>
      <c r="I75" s="40"/>
      <c r="J75" s="40"/>
      <c r="K75" s="40"/>
      <c r="L75" s="40"/>
      <c r="M75" s="40"/>
    </row>
    <row r="76" ht="12.75" customHeight="1">
      <c r="E76" s="40"/>
      <c r="F76" s="40"/>
      <c r="G76" s="40"/>
      <c r="H76" s="40"/>
      <c r="I76" s="40"/>
      <c r="J76" s="40"/>
      <c r="K76" s="40"/>
      <c r="L76" s="40"/>
      <c r="M76" s="40"/>
    </row>
    <row r="77" ht="12.75" customHeight="1">
      <c r="E77" s="40"/>
      <c r="F77" s="40"/>
      <c r="G77" s="40"/>
      <c r="H77" s="40"/>
      <c r="I77" s="40"/>
      <c r="J77" s="40"/>
      <c r="K77" s="40"/>
      <c r="L77" s="40"/>
      <c r="M77" s="40"/>
    </row>
    <row r="78" ht="12.75" customHeight="1">
      <c r="E78" s="40"/>
      <c r="F78" s="40"/>
      <c r="G78" s="40"/>
      <c r="H78" s="40"/>
      <c r="I78" s="40"/>
      <c r="J78" s="40"/>
      <c r="K78" s="40"/>
      <c r="L78" s="40"/>
      <c r="M78" s="40"/>
    </row>
    <row r="79" ht="12.75" customHeight="1">
      <c r="E79" s="40"/>
      <c r="F79" s="40"/>
      <c r="G79" s="40"/>
      <c r="H79" s="40"/>
      <c r="I79" s="40"/>
      <c r="J79" s="40"/>
      <c r="K79" s="40"/>
      <c r="L79" s="40"/>
      <c r="M79" s="40"/>
    </row>
    <row r="80" ht="12.75" customHeight="1">
      <c r="E80" s="40"/>
      <c r="F80" s="40"/>
      <c r="G80" s="40"/>
      <c r="H80" s="40"/>
      <c r="I80" s="40"/>
      <c r="J80" s="40"/>
      <c r="K80" s="40"/>
      <c r="L80" s="40"/>
      <c r="M80" s="40"/>
    </row>
    <row r="81" ht="12.75" customHeight="1">
      <c r="E81" s="40"/>
      <c r="F81" s="40"/>
      <c r="G81" s="40"/>
      <c r="H81" s="40"/>
      <c r="I81" s="40"/>
      <c r="J81" s="40"/>
      <c r="K81" s="40"/>
      <c r="L81" s="40"/>
      <c r="M81" s="40"/>
    </row>
    <row r="82" ht="12.75" customHeight="1">
      <c r="E82" s="40"/>
      <c r="F82" s="40"/>
      <c r="G82" s="40"/>
      <c r="H82" s="40"/>
      <c r="I82" s="40"/>
      <c r="J82" s="40"/>
      <c r="K82" s="40"/>
      <c r="L82" s="40"/>
      <c r="M82" s="40"/>
    </row>
    <row r="83" ht="12.75" customHeight="1">
      <c r="E83" s="40"/>
      <c r="F83" s="40"/>
      <c r="G83" s="40"/>
      <c r="H83" s="40"/>
      <c r="I83" s="40"/>
      <c r="J83" s="40"/>
      <c r="K83" s="40"/>
      <c r="L83" s="40"/>
      <c r="M83" s="40"/>
    </row>
    <row r="84" ht="12.75" customHeight="1">
      <c r="E84" s="40"/>
      <c r="F84" s="40"/>
      <c r="G84" s="40"/>
      <c r="H84" s="40"/>
      <c r="I84" s="40"/>
      <c r="J84" s="40"/>
      <c r="K84" s="40"/>
      <c r="L84" s="40"/>
      <c r="M84" s="40"/>
    </row>
    <row r="85" ht="12.75" customHeight="1">
      <c r="E85" s="40"/>
      <c r="F85" s="40"/>
      <c r="G85" s="40"/>
      <c r="H85" s="40"/>
      <c r="I85" s="40"/>
      <c r="J85" s="40"/>
      <c r="K85" s="40"/>
      <c r="L85" s="40"/>
      <c r="M85" s="40"/>
    </row>
    <row r="86" ht="12.75" customHeight="1">
      <c r="E86" s="40"/>
      <c r="F86" s="40"/>
      <c r="G86" s="40"/>
      <c r="H86" s="40"/>
      <c r="I86" s="40"/>
      <c r="J86" s="40"/>
      <c r="K86" s="40"/>
      <c r="L86" s="40"/>
      <c r="M86" s="40"/>
    </row>
    <row r="87" ht="12.75" customHeight="1">
      <c r="E87" s="40"/>
      <c r="F87" s="40"/>
      <c r="G87" s="40"/>
      <c r="H87" s="40"/>
      <c r="I87" s="40"/>
      <c r="J87" s="40"/>
      <c r="K87" s="40"/>
      <c r="L87" s="40"/>
      <c r="M87" s="40"/>
    </row>
    <row r="88" ht="12.75" customHeight="1">
      <c r="E88" s="40"/>
      <c r="F88" s="40"/>
      <c r="G88" s="40"/>
      <c r="H88" s="40"/>
      <c r="I88" s="40"/>
      <c r="J88" s="40"/>
      <c r="K88" s="40"/>
      <c r="L88" s="40"/>
      <c r="M88" s="40"/>
    </row>
    <row r="89" ht="12.75" customHeight="1">
      <c r="E89" s="40"/>
      <c r="F89" s="40"/>
      <c r="G89" s="40"/>
      <c r="H89" s="40"/>
      <c r="I89" s="40"/>
      <c r="J89" s="40"/>
      <c r="K89" s="40"/>
      <c r="L89" s="40"/>
      <c r="M89" s="40"/>
    </row>
    <row r="90" ht="12.75" customHeight="1">
      <c r="E90" s="40"/>
      <c r="F90" s="40"/>
      <c r="G90" s="40"/>
      <c r="H90" s="40"/>
      <c r="I90" s="40"/>
      <c r="J90" s="40"/>
      <c r="K90" s="40"/>
      <c r="L90" s="40"/>
      <c r="M90" s="40"/>
    </row>
    <row r="91" ht="12.75" customHeight="1">
      <c r="E91" s="40"/>
      <c r="F91" s="40"/>
      <c r="G91" s="40"/>
      <c r="H91" s="40"/>
      <c r="I91" s="40"/>
      <c r="J91" s="40"/>
      <c r="K91" s="40"/>
      <c r="L91" s="40"/>
      <c r="M91" s="40"/>
    </row>
    <row r="92" ht="12.75" customHeight="1">
      <c r="E92" s="40"/>
      <c r="F92" s="40"/>
      <c r="G92" s="40"/>
      <c r="H92" s="40"/>
      <c r="I92" s="40"/>
      <c r="J92" s="40"/>
      <c r="K92" s="40"/>
      <c r="L92" s="40"/>
      <c r="M92" s="40"/>
    </row>
    <row r="93" ht="12.75" customHeight="1">
      <c r="E93" s="40"/>
      <c r="F93" s="40"/>
      <c r="G93" s="40"/>
      <c r="H93" s="40"/>
      <c r="I93" s="40"/>
      <c r="J93" s="40"/>
      <c r="K93" s="40"/>
      <c r="L93" s="40"/>
      <c r="M93" s="40"/>
    </row>
    <row r="94" ht="12.75" customHeight="1">
      <c r="E94" s="40"/>
      <c r="F94" s="40"/>
      <c r="G94" s="40"/>
      <c r="H94" s="40"/>
      <c r="I94" s="40"/>
      <c r="J94" s="40"/>
      <c r="K94" s="40"/>
      <c r="L94" s="40"/>
      <c r="M94" s="40"/>
    </row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</sheetData>
  <autoFilter ref="$A$4:$O$43">
    <sortState ref="A4:O43">
      <sortCondition ref="M4:M43"/>
      <sortCondition ref="B4:B43"/>
    </sortState>
  </autoFilter>
  <printOptions/>
  <pageMargins bottom="1.0" footer="0.0" header="0.0" left="0.75" right="0.75" top="1.0"/>
  <pageSetup paperSize="9"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5.38"/>
    <col customWidth="1" min="2" max="2" width="42.63"/>
    <col customWidth="1" hidden="1" min="3" max="3" width="14.13"/>
    <col customWidth="1" hidden="1" min="4" max="4" width="12.13"/>
    <col customWidth="1" hidden="1" min="5" max="5" width="14.13"/>
    <col customWidth="1" hidden="1" min="6" max="7" width="10.63"/>
    <col customWidth="1" hidden="1" min="8" max="8" width="9.88"/>
    <col customWidth="1" hidden="1" min="9" max="9" width="11.88"/>
    <col customWidth="1" hidden="1" min="10" max="10" width="14.0"/>
    <col customWidth="1" hidden="1" min="11" max="11" width="8.13"/>
    <col customWidth="1" hidden="1" min="12" max="12" width="16.13"/>
    <col customWidth="1" min="13" max="13" width="13.63"/>
    <col customWidth="1" hidden="1" min="14" max="14" width="6.88"/>
    <col customWidth="1" min="15" max="15" width="25.38"/>
    <col customWidth="1" min="16" max="26" width="9.13"/>
  </cols>
  <sheetData>
    <row r="1" ht="12.75" customHeight="1">
      <c r="A1" s="78" t="s">
        <v>156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 ht="12.75" customHeight="1">
      <c r="A2" s="19" t="s">
        <v>28</v>
      </c>
      <c r="B2" s="19"/>
      <c r="C2" s="19"/>
      <c r="D2" s="19"/>
      <c r="E2" s="19"/>
      <c r="F2" s="20"/>
      <c r="K2" s="19"/>
      <c r="L2" s="19"/>
    </row>
    <row r="3" ht="12.75" customHeight="1">
      <c r="A3" s="19" t="s">
        <v>29</v>
      </c>
      <c r="B3" s="19"/>
      <c r="K3" s="19"/>
      <c r="L3" s="19"/>
    </row>
    <row r="4" ht="12.75" customHeight="1">
      <c r="A4" s="21" t="s">
        <v>30</v>
      </c>
      <c r="B4" s="21"/>
      <c r="C4" s="21"/>
      <c r="D4" s="21"/>
      <c r="E4" s="22"/>
      <c r="F4" s="22"/>
      <c r="G4" s="22"/>
      <c r="H4" s="22"/>
      <c r="I4" s="22"/>
      <c r="J4" s="22" t="s">
        <v>31</v>
      </c>
      <c r="K4" s="23" t="s">
        <v>32</v>
      </c>
      <c r="L4" s="22" t="s">
        <v>33</v>
      </c>
      <c r="M4" s="22" t="s">
        <v>34</v>
      </c>
      <c r="N4" s="18" t="s">
        <v>32</v>
      </c>
      <c r="O4" s="24" t="s">
        <v>35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 ht="12.75" customHeight="1">
      <c r="A5" s="80">
        <v>1.0</v>
      </c>
      <c r="B5" s="27" t="s">
        <v>157</v>
      </c>
      <c r="C5" s="33"/>
      <c r="D5" s="33"/>
      <c r="E5" s="29">
        <v>3.24</v>
      </c>
      <c r="F5" s="29">
        <v>4.27</v>
      </c>
      <c r="G5" s="29">
        <v>4.87</v>
      </c>
      <c r="H5" s="29">
        <v>3.03</v>
      </c>
      <c r="I5" s="29">
        <v>5.71</v>
      </c>
      <c r="J5" s="30">
        <f t="shared" ref="J5:J42" si="1">IF(MIN(E5:I5)&gt;0,MIN(E5:I5),IF(COUNTBLANK(E5:I5)=5,"","DNF"))</f>
        <v>3.03</v>
      </c>
      <c r="K5" s="30"/>
      <c r="L5" s="30">
        <f t="shared" ref="L5:L42" si="2">IF(COUNTBLANK(E5:I5)&gt;0,"",IF(COUNTIF(E5:I5,"DNF")+COUNTIF(E5:I5,"DNS")&gt;0,"DNF",MAX(E5:I5)))</f>
        <v>5.71</v>
      </c>
      <c r="M5" s="30">
        <f t="shared" ref="M5:M12" si="3">IF(COUNTBLANK(E5:I5)&gt;0,"",IF(COUNTIF(E5:I5,"DNF")+COUNTIF(E5:I5,"DNS")&gt;1,"DNF",ROUND(IF(COUNTIF(E5:I5,"DNF")+COUNTIF(E5:I5,"DNS")&gt;0,(SUM(E5:I5)-J5)/3,(SUM(E5:I5)-J5-L5)/3),2)))</f>
        <v>4.13</v>
      </c>
      <c r="N5" s="25"/>
      <c r="O5" s="31">
        <f t="shared" ref="O5:O43" si="4">M5/86400</f>
        <v>0.00004780092593</v>
      </c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</row>
    <row r="6" ht="12.75" customHeight="1">
      <c r="A6" s="80">
        <v>2.0</v>
      </c>
      <c r="B6" s="27" t="s">
        <v>103</v>
      </c>
      <c r="C6" s="28"/>
      <c r="D6" s="28"/>
      <c r="E6" s="29">
        <v>5.98</v>
      </c>
      <c r="F6" s="29">
        <v>7.97</v>
      </c>
      <c r="G6" s="29">
        <v>9.86</v>
      </c>
      <c r="H6" s="29">
        <v>3.04</v>
      </c>
      <c r="I6" s="29">
        <v>4.86</v>
      </c>
      <c r="J6" s="30">
        <f t="shared" si="1"/>
        <v>3.04</v>
      </c>
      <c r="K6" s="30"/>
      <c r="L6" s="30">
        <f t="shared" si="2"/>
        <v>9.86</v>
      </c>
      <c r="M6" s="30">
        <f t="shared" si="3"/>
        <v>6.27</v>
      </c>
      <c r="N6" s="25"/>
      <c r="O6" s="31">
        <f t="shared" si="4"/>
        <v>0.00007256944444</v>
      </c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</row>
    <row r="7" ht="12.75" customHeight="1">
      <c r="A7" s="80">
        <v>3.0</v>
      </c>
      <c r="B7" s="27" t="s">
        <v>99</v>
      </c>
      <c r="C7" s="28"/>
      <c r="D7" s="28"/>
      <c r="E7" s="29">
        <v>5.51</v>
      </c>
      <c r="F7" s="29">
        <v>8.13</v>
      </c>
      <c r="G7" s="29">
        <v>8.0</v>
      </c>
      <c r="H7" s="29">
        <v>3.94</v>
      </c>
      <c r="I7" s="29">
        <v>7.53</v>
      </c>
      <c r="J7" s="30">
        <f t="shared" si="1"/>
        <v>3.94</v>
      </c>
      <c r="K7" s="30"/>
      <c r="L7" s="30">
        <f t="shared" si="2"/>
        <v>8.13</v>
      </c>
      <c r="M7" s="30">
        <f t="shared" si="3"/>
        <v>7.01</v>
      </c>
      <c r="N7" s="25"/>
      <c r="O7" s="31">
        <f t="shared" si="4"/>
        <v>0.00008113425926</v>
      </c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</row>
    <row r="8" ht="12.75" customHeight="1">
      <c r="A8" s="80">
        <v>4.0</v>
      </c>
      <c r="B8" s="27" t="s">
        <v>100</v>
      </c>
      <c r="C8" s="28"/>
      <c r="D8" s="28"/>
      <c r="E8" s="29">
        <v>5.76</v>
      </c>
      <c r="F8" s="29">
        <v>7.5</v>
      </c>
      <c r="G8" s="29">
        <v>9.37</v>
      </c>
      <c r="H8" s="29">
        <v>4.95</v>
      </c>
      <c r="I8" s="29">
        <v>8.11</v>
      </c>
      <c r="J8" s="30">
        <f t="shared" si="1"/>
        <v>4.95</v>
      </c>
      <c r="K8" s="30"/>
      <c r="L8" s="30">
        <f t="shared" si="2"/>
        <v>9.37</v>
      </c>
      <c r="M8" s="30">
        <f t="shared" si="3"/>
        <v>7.12</v>
      </c>
      <c r="N8" s="25"/>
      <c r="O8" s="31">
        <f t="shared" si="4"/>
        <v>0.00008240740741</v>
      </c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</row>
    <row r="9" ht="12.75" customHeight="1">
      <c r="A9" s="80">
        <v>5.0</v>
      </c>
      <c r="B9" s="27" t="s">
        <v>95</v>
      </c>
      <c r="C9" s="28"/>
      <c r="D9" s="28"/>
      <c r="E9" s="81">
        <v>4.71</v>
      </c>
      <c r="F9" s="29">
        <v>8.33</v>
      </c>
      <c r="G9" s="29">
        <v>8.58</v>
      </c>
      <c r="H9" s="29">
        <v>8.6</v>
      </c>
      <c r="I9" s="29">
        <v>5.72</v>
      </c>
      <c r="J9" s="30">
        <f t="shared" si="1"/>
        <v>4.71</v>
      </c>
      <c r="K9" s="30"/>
      <c r="L9" s="30">
        <f t="shared" si="2"/>
        <v>8.6</v>
      </c>
      <c r="M9" s="30">
        <f t="shared" si="3"/>
        <v>7.54</v>
      </c>
      <c r="N9" s="25"/>
      <c r="O9" s="31">
        <f t="shared" si="4"/>
        <v>0.00008726851852</v>
      </c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 ht="12.75" customHeight="1">
      <c r="A10" s="80">
        <v>6.0</v>
      </c>
      <c r="B10" s="27" t="s">
        <v>159</v>
      </c>
      <c r="C10" s="28"/>
      <c r="D10" s="28"/>
      <c r="E10" s="29">
        <v>8.11</v>
      </c>
      <c r="F10" s="29">
        <v>8.48</v>
      </c>
      <c r="G10" s="29">
        <v>7.8</v>
      </c>
      <c r="H10" s="29">
        <v>7.49</v>
      </c>
      <c r="I10" s="29">
        <v>8.44</v>
      </c>
      <c r="J10" s="30">
        <f t="shared" si="1"/>
        <v>7.49</v>
      </c>
      <c r="K10" s="30"/>
      <c r="L10" s="30">
        <f t="shared" si="2"/>
        <v>8.48</v>
      </c>
      <c r="M10" s="30">
        <f t="shared" si="3"/>
        <v>8.12</v>
      </c>
      <c r="N10" s="25"/>
      <c r="O10" s="31">
        <f t="shared" si="4"/>
        <v>0.00009398148148</v>
      </c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 ht="12.75" customHeight="1">
      <c r="A11" s="80">
        <v>7.0</v>
      </c>
      <c r="B11" s="27" t="s">
        <v>98</v>
      </c>
      <c r="C11" s="28"/>
      <c r="D11" s="28"/>
      <c r="E11" s="29">
        <v>6.51</v>
      </c>
      <c r="F11" s="29">
        <v>9.49</v>
      </c>
      <c r="G11" s="29">
        <v>19.76</v>
      </c>
      <c r="H11" s="29">
        <v>7.38</v>
      </c>
      <c r="I11" s="29">
        <v>8.08</v>
      </c>
      <c r="J11" s="30">
        <f t="shared" si="1"/>
        <v>6.51</v>
      </c>
      <c r="K11" s="30"/>
      <c r="L11" s="30">
        <f t="shared" si="2"/>
        <v>19.76</v>
      </c>
      <c r="M11" s="30">
        <f t="shared" si="3"/>
        <v>8.32</v>
      </c>
      <c r="N11" s="25"/>
      <c r="O11" s="31">
        <f t="shared" si="4"/>
        <v>0.0000962962963</v>
      </c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 ht="12.75" customHeight="1">
      <c r="A12" s="80">
        <v>8.0</v>
      </c>
      <c r="B12" s="27" t="s">
        <v>162</v>
      </c>
      <c r="C12" s="33"/>
      <c r="D12" s="33"/>
      <c r="E12" s="34">
        <v>6.5</v>
      </c>
      <c r="F12" s="34">
        <v>11.4</v>
      </c>
      <c r="G12" s="34">
        <v>7.48</v>
      </c>
      <c r="H12" s="34" t="s">
        <v>49</v>
      </c>
      <c r="I12" s="34">
        <v>7.23</v>
      </c>
      <c r="J12" s="35">
        <f t="shared" si="1"/>
        <v>6.5</v>
      </c>
      <c r="K12" s="35"/>
      <c r="L12" s="35" t="str">
        <f t="shared" si="2"/>
        <v>DNF</v>
      </c>
      <c r="M12" s="35">
        <f t="shared" si="3"/>
        <v>8.7</v>
      </c>
      <c r="N12" s="25"/>
      <c r="O12" s="31">
        <f t="shared" si="4"/>
        <v>0.0001006944444</v>
      </c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 ht="12.75" customHeight="1">
      <c r="A13" s="80">
        <v>9.0</v>
      </c>
      <c r="B13" s="27" t="s">
        <v>104</v>
      </c>
      <c r="C13" s="28"/>
      <c r="D13" s="28"/>
      <c r="E13" s="29">
        <v>6.45</v>
      </c>
      <c r="F13" s="29">
        <v>10.63</v>
      </c>
      <c r="G13" s="29">
        <v>14.95</v>
      </c>
      <c r="H13" s="29">
        <v>7.29</v>
      </c>
      <c r="I13" s="29">
        <v>11.07</v>
      </c>
      <c r="J13" s="30">
        <f t="shared" si="1"/>
        <v>6.45</v>
      </c>
      <c r="K13" s="30"/>
      <c r="L13" s="30">
        <f t="shared" si="2"/>
        <v>14.95</v>
      </c>
      <c r="M13" s="30">
        <f>IF(COUNTBLANK(E13:I13)&gt;0,"",IF(COUNTIF(E13:I13,"DNF")+COUNTIF(E13:I13,"DNS")&gt;1,"DNF",IF(COUNTIF(E13:I13,"DNF")+COUNTIF(E13:I13,"DNS")&gt;0,(SUM(E13:I13)-J13)/3,(SUM(E13:I13)-J13-L13)/3)))</f>
        <v>9.663333333</v>
      </c>
      <c r="N13" s="25"/>
      <c r="O13" s="31">
        <f t="shared" si="4"/>
        <v>0.0001118441358</v>
      </c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 ht="12.75" customHeight="1">
      <c r="A14" s="80">
        <v>10.0</v>
      </c>
      <c r="B14" s="27" t="s">
        <v>160</v>
      </c>
      <c r="C14" s="28"/>
      <c r="D14" s="28"/>
      <c r="E14" s="29">
        <v>8.51</v>
      </c>
      <c r="F14" s="29">
        <v>13.76</v>
      </c>
      <c r="G14" s="29">
        <v>11.66</v>
      </c>
      <c r="H14" s="29">
        <v>6.58</v>
      </c>
      <c r="I14" s="29">
        <v>9.52</v>
      </c>
      <c r="J14" s="30">
        <f t="shared" si="1"/>
        <v>6.58</v>
      </c>
      <c r="K14" s="30"/>
      <c r="L14" s="30">
        <f t="shared" si="2"/>
        <v>13.76</v>
      </c>
      <c r="M14" s="30">
        <f t="shared" ref="M14:M40" si="5">IF(COUNTBLANK(E14:I14)&gt;0,"",IF(COUNTIF(E14:I14,"DNF")+COUNTIF(E14:I14,"DNS")&gt;1,"DNF",ROUND(IF(COUNTIF(E14:I14,"DNF")+COUNTIF(E14:I14,"DNS")&gt;0,(SUM(E14:I14)-J14)/3,(SUM(E14:I14)-J14-L14)/3),2)))</f>
        <v>9.9</v>
      </c>
      <c r="N14" s="25"/>
      <c r="O14" s="31">
        <f t="shared" si="4"/>
        <v>0.0001145833333</v>
      </c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ht="12.75" customHeight="1">
      <c r="A15" s="80">
        <v>11.0</v>
      </c>
      <c r="B15" s="27" t="s">
        <v>158</v>
      </c>
      <c r="C15" s="28"/>
      <c r="D15" s="28"/>
      <c r="E15" s="29">
        <v>15.87</v>
      </c>
      <c r="F15" s="29">
        <v>11.63</v>
      </c>
      <c r="G15" s="29">
        <v>12.46</v>
      </c>
      <c r="H15" s="29">
        <v>10.51</v>
      </c>
      <c r="I15" s="29">
        <v>9.89</v>
      </c>
      <c r="J15" s="30">
        <f t="shared" si="1"/>
        <v>9.89</v>
      </c>
      <c r="K15" s="30"/>
      <c r="L15" s="30">
        <f t="shared" si="2"/>
        <v>15.87</v>
      </c>
      <c r="M15" s="30">
        <f t="shared" si="5"/>
        <v>11.53</v>
      </c>
      <c r="N15" s="25"/>
      <c r="O15" s="31">
        <f t="shared" si="4"/>
        <v>0.0001334490741</v>
      </c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ht="12.75" customHeight="1">
      <c r="A16" s="80">
        <v>12.0</v>
      </c>
      <c r="B16" s="27" t="s">
        <v>161</v>
      </c>
      <c r="C16" s="28"/>
      <c r="D16" s="28"/>
      <c r="E16" s="29">
        <v>7.06</v>
      </c>
      <c r="F16" s="29">
        <v>10.65</v>
      </c>
      <c r="G16" s="29">
        <v>10.12</v>
      </c>
      <c r="H16" s="29" t="s">
        <v>49</v>
      </c>
      <c r="I16" s="29">
        <v>18.98</v>
      </c>
      <c r="J16" s="30">
        <f t="shared" si="1"/>
        <v>7.06</v>
      </c>
      <c r="K16" s="30"/>
      <c r="L16" s="30" t="str">
        <f t="shared" si="2"/>
        <v>DNF</v>
      </c>
      <c r="M16" s="30">
        <f t="shared" si="5"/>
        <v>13.25</v>
      </c>
      <c r="N16" s="25"/>
      <c r="O16" s="31">
        <f t="shared" si="4"/>
        <v>0.0001533564815</v>
      </c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 ht="12.75" customHeight="1">
      <c r="A17" s="80">
        <v>13.0</v>
      </c>
      <c r="B17" s="27"/>
      <c r="C17" s="28"/>
      <c r="D17" s="28"/>
      <c r="E17" s="29"/>
      <c r="F17" s="29"/>
      <c r="G17" s="29"/>
      <c r="H17" s="29"/>
      <c r="I17" s="29"/>
      <c r="J17" s="30" t="str">
        <f t="shared" si="1"/>
        <v/>
      </c>
      <c r="K17" s="30"/>
      <c r="L17" s="30" t="str">
        <f t="shared" si="2"/>
        <v/>
      </c>
      <c r="M17" s="30" t="str">
        <f t="shared" si="5"/>
        <v/>
      </c>
      <c r="N17" s="25"/>
      <c r="O17" s="31">
        <f t="shared" si="4"/>
        <v>0</v>
      </c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 ht="12.75" customHeight="1">
      <c r="A18" s="80">
        <v>14.0</v>
      </c>
      <c r="B18" s="27"/>
      <c r="C18" s="28"/>
      <c r="D18" s="28"/>
      <c r="E18" s="29"/>
      <c r="F18" s="29"/>
      <c r="G18" s="29"/>
      <c r="H18" s="29"/>
      <c r="I18" s="29"/>
      <c r="J18" s="30" t="str">
        <f t="shared" si="1"/>
        <v/>
      </c>
      <c r="K18" s="30"/>
      <c r="L18" s="30" t="str">
        <f t="shared" si="2"/>
        <v/>
      </c>
      <c r="M18" s="30" t="str">
        <f t="shared" si="5"/>
        <v/>
      </c>
      <c r="N18" s="25"/>
      <c r="O18" s="31">
        <f t="shared" si="4"/>
        <v>0</v>
      </c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 ht="12.75" customHeight="1">
      <c r="A19" s="80">
        <v>15.0</v>
      </c>
      <c r="B19" s="27"/>
      <c r="C19" s="33"/>
      <c r="D19" s="33"/>
      <c r="E19" s="29"/>
      <c r="F19" s="29"/>
      <c r="G19" s="29"/>
      <c r="H19" s="29"/>
      <c r="I19" s="29"/>
      <c r="J19" s="30" t="str">
        <f t="shared" si="1"/>
        <v/>
      </c>
      <c r="K19" s="30"/>
      <c r="L19" s="30" t="str">
        <f t="shared" si="2"/>
        <v/>
      </c>
      <c r="M19" s="30" t="str">
        <f t="shared" si="5"/>
        <v/>
      </c>
      <c r="N19" s="25"/>
      <c r="O19" s="31">
        <f t="shared" si="4"/>
        <v>0</v>
      </c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 ht="12.75" customHeight="1">
      <c r="A20" s="80">
        <v>16.0</v>
      </c>
      <c r="B20" s="27"/>
      <c r="C20" s="28"/>
      <c r="D20" s="28"/>
      <c r="E20" s="29"/>
      <c r="F20" s="29"/>
      <c r="G20" s="29"/>
      <c r="H20" s="29"/>
      <c r="I20" s="29"/>
      <c r="J20" s="30" t="str">
        <f t="shared" si="1"/>
        <v/>
      </c>
      <c r="K20" s="30"/>
      <c r="L20" s="30" t="str">
        <f t="shared" si="2"/>
        <v/>
      </c>
      <c r="M20" s="30" t="str">
        <f t="shared" si="5"/>
        <v/>
      </c>
      <c r="N20" s="25"/>
      <c r="O20" s="31">
        <f t="shared" si="4"/>
        <v>0</v>
      </c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 ht="12.75" customHeight="1">
      <c r="A21" s="80">
        <v>17.0</v>
      </c>
      <c r="B21" s="27"/>
      <c r="C21" s="28"/>
      <c r="D21" s="28"/>
      <c r="E21" s="29"/>
      <c r="F21" s="29"/>
      <c r="G21" s="29"/>
      <c r="H21" s="29"/>
      <c r="I21" s="29"/>
      <c r="J21" s="30" t="str">
        <f t="shared" si="1"/>
        <v/>
      </c>
      <c r="K21" s="30"/>
      <c r="L21" s="30" t="str">
        <f t="shared" si="2"/>
        <v/>
      </c>
      <c r="M21" s="30" t="str">
        <f t="shared" si="5"/>
        <v/>
      </c>
      <c r="N21" s="25"/>
      <c r="O21" s="31">
        <f t="shared" si="4"/>
        <v>0</v>
      </c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 ht="12.75" customHeight="1">
      <c r="A22" s="80">
        <v>18.0</v>
      </c>
      <c r="B22" s="27"/>
      <c r="C22" s="28"/>
      <c r="D22" s="28"/>
      <c r="E22" s="29"/>
      <c r="F22" s="29"/>
      <c r="G22" s="29"/>
      <c r="H22" s="29"/>
      <c r="I22" s="29"/>
      <c r="J22" s="30" t="str">
        <f t="shared" si="1"/>
        <v/>
      </c>
      <c r="K22" s="30"/>
      <c r="L22" s="30" t="str">
        <f t="shared" si="2"/>
        <v/>
      </c>
      <c r="M22" s="30" t="str">
        <f t="shared" si="5"/>
        <v/>
      </c>
      <c r="N22" s="25"/>
      <c r="O22" s="31">
        <f t="shared" si="4"/>
        <v>0</v>
      </c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 ht="12.75" customHeight="1">
      <c r="A23" s="80">
        <v>19.0</v>
      </c>
      <c r="B23" s="27"/>
      <c r="C23" s="28"/>
      <c r="D23" s="28"/>
      <c r="E23" s="29"/>
      <c r="F23" s="29"/>
      <c r="G23" s="29"/>
      <c r="H23" s="29"/>
      <c r="I23" s="29"/>
      <c r="J23" s="30" t="str">
        <f t="shared" si="1"/>
        <v/>
      </c>
      <c r="K23" s="30"/>
      <c r="L23" s="30" t="str">
        <f t="shared" si="2"/>
        <v/>
      </c>
      <c r="M23" s="30" t="str">
        <f t="shared" si="5"/>
        <v/>
      </c>
      <c r="N23" s="25"/>
      <c r="O23" s="31">
        <f t="shared" si="4"/>
        <v>0</v>
      </c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 ht="12.75" customHeight="1">
      <c r="A24" s="80">
        <v>20.0</v>
      </c>
      <c r="B24" s="27"/>
      <c r="C24" s="41"/>
      <c r="D24" s="41"/>
      <c r="E24" s="29"/>
      <c r="F24" s="29"/>
      <c r="G24" s="29"/>
      <c r="H24" s="29"/>
      <c r="I24" s="29"/>
      <c r="J24" s="30" t="str">
        <f t="shared" si="1"/>
        <v/>
      </c>
      <c r="K24" s="30"/>
      <c r="L24" s="30" t="str">
        <f t="shared" si="2"/>
        <v/>
      </c>
      <c r="M24" s="30" t="str">
        <f t="shared" si="5"/>
        <v/>
      </c>
      <c r="N24" s="25"/>
      <c r="O24" s="31">
        <f t="shared" si="4"/>
        <v>0</v>
      </c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 ht="12.75" customHeight="1">
      <c r="A25" s="80">
        <v>21.0</v>
      </c>
      <c r="B25" s="27"/>
      <c r="C25" s="28"/>
      <c r="D25" s="28"/>
      <c r="E25" s="29"/>
      <c r="F25" s="29"/>
      <c r="G25" s="29"/>
      <c r="H25" s="29"/>
      <c r="I25" s="29"/>
      <c r="J25" s="30" t="str">
        <f t="shared" si="1"/>
        <v/>
      </c>
      <c r="K25" s="30"/>
      <c r="L25" s="30" t="str">
        <f t="shared" si="2"/>
        <v/>
      </c>
      <c r="M25" s="30" t="str">
        <f t="shared" si="5"/>
        <v/>
      </c>
      <c r="N25" s="25"/>
      <c r="O25" s="31">
        <f t="shared" si="4"/>
        <v>0</v>
      </c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 ht="12.75" customHeight="1">
      <c r="A26" s="80">
        <v>22.0</v>
      </c>
      <c r="B26" s="27"/>
      <c r="C26" s="28"/>
      <c r="D26" s="28"/>
      <c r="E26" s="29"/>
      <c r="F26" s="29"/>
      <c r="G26" s="29"/>
      <c r="H26" s="29"/>
      <c r="I26" s="29"/>
      <c r="J26" s="30" t="str">
        <f t="shared" si="1"/>
        <v/>
      </c>
      <c r="K26" s="30"/>
      <c r="L26" s="30" t="str">
        <f t="shared" si="2"/>
        <v/>
      </c>
      <c r="M26" s="30" t="str">
        <f t="shared" si="5"/>
        <v/>
      </c>
      <c r="N26" s="25"/>
      <c r="O26" s="31">
        <f t="shared" si="4"/>
        <v>0</v>
      </c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 ht="12.75" customHeight="1">
      <c r="A27" s="80">
        <v>23.0</v>
      </c>
      <c r="B27" s="27"/>
      <c r="C27" s="28"/>
      <c r="D27" s="28"/>
      <c r="E27" s="29"/>
      <c r="F27" s="29"/>
      <c r="G27" s="29"/>
      <c r="H27" s="29"/>
      <c r="I27" s="29"/>
      <c r="J27" s="30" t="str">
        <f t="shared" si="1"/>
        <v/>
      </c>
      <c r="K27" s="30"/>
      <c r="L27" s="30" t="str">
        <f t="shared" si="2"/>
        <v/>
      </c>
      <c r="M27" s="30" t="str">
        <f t="shared" si="5"/>
        <v/>
      </c>
      <c r="N27" s="25"/>
      <c r="O27" s="31">
        <f t="shared" si="4"/>
        <v>0</v>
      </c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 ht="12.75" customHeight="1">
      <c r="A28" s="80">
        <v>24.0</v>
      </c>
      <c r="B28" s="27"/>
      <c r="C28" s="28"/>
      <c r="D28" s="28"/>
      <c r="E28" s="29"/>
      <c r="F28" s="29"/>
      <c r="G28" s="29"/>
      <c r="H28" s="29"/>
      <c r="I28" s="29"/>
      <c r="J28" s="30" t="str">
        <f t="shared" si="1"/>
        <v/>
      </c>
      <c r="K28" s="30"/>
      <c r="L28" s="30" t="str">
        <f t="shared" si="2"/>
        <v/>
      </c>
      <c r="M28" s="30" t="str">
        <f t="shared" si="5"/>
        <v/>
      </c>
      <c r="N28" s="25"/>
      <c r="O28" s="31">
        <f t="shared" si="4"/>
        <v>0</v>
      </c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ht="12.75" customHeight="1">
      <c r="A29" s="80">
        <v>25.0</v>
      </c>
      <c r="B29" s="27"/>
      <c r="C29" s="28"/>
      <c r="D29" s="28"/>
      <c r="E29" s="29"/>
      <c r="F29" s="29"/>
      <c r="G29" s="29"/>
      <c r="H29" s="29"/>
      <c r="I29" s="29"/>
      <c r="J29" s="30" t="str">
        <f t="shared" si="1"/>
        <v/>
      </c>
      <c r="K29" s="30"/>
      <c r="L29" s="30" t="str">
        <f t="shared" si="2"/>
        <v/>
      </c>
      <c r="M29" s="30" t="str">
        <f t="shared" si="5"/>
        <v/>
      </c>
      <c r="N29" s="25"/>
      <c r="O29" s="31">
        <f t="shared" si="4"/>
        <v>0</v>
      </c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 ht="12.75" customHeight="1">
      <c r="A30" s="80">
        <v>26.0</v>
      </c>
      <c r="B30" s="27"/>
      <c r="C30" s="28"/>
      <c r="D30" s="28"/>
      <c r="E30" s="29"/>
      <c r="F30" s="29"/>
      <c r="G30" s="29"/>
      <c r="H30" s="29"/>
      <c r="I30" s="29"/>
      <c r="J30" s="30" t="str">
        <f t="shared" si="1"/>
        <v/>
      </c>
      <c r="K30" s="30"/>
      <c r="L30" s="30" t="str">
        <f t="shared" si="2"/>
        <v/>
      </c>
      <c r="M30" s="30" t="str">
        <f t="shared" si="5"/>
        <v/>
      </c>
      <c r="N30" s="25"/>
      <c r="O30" s="31">
        <f t="shared" si="4"/>
        <v>0</v>
      </c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 ht="12.75" customHeight="1">
      <c r="A31" s="80">
        <v>27.0</v>
      </c>
      <c r="B31" s="27"/>
      <c r="C31" s="28"/>
      <c r="D31" s="28"/>
      <c r="E31" s="29"/>
      <c r="F31" s="29"/>
      <c r="G31" s="29"/>
      <c r="H31" s="29"/>
      <c r="I31" s="29"/>
      <c r="J31" s="30" t="str">
        <f t="shared" si="1"/>
        <v/>
      </c>
      <c r="K31" s="30"/>
      <c r="L31" s="30" t="str">
        <f t="shared" si="2"/>
        <v/>
      </c>
      <c r="M31" s="30" t="str">
        <f t="shared" si="5"/>
        <v/>
      </c>
      <c r="N31" s="25"/>
      <c r="O31" s="31">
        <f t="shared" si="4"/>
        <v>0</v>
      </c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 ht="12.75" customHeight="1">
      <c r="A32" s="80">
        <v>28.0</v>
      </c>
      <c r="B32" s="27"/>
      <c r="C32" s="28"/>
      <c r="D32" s="28"/>
      <c r="E32" s="29"/>
      <c r="F32" s="29"/>
      <c r="G32" s="29"/>
      <c r="H32" s="29"/>
      <c r="I32" s="29"/>
      <c r="J32" s="30" t="str">
        <f t="shared" si="1"/>
        <v/>
      </c>
      <c r="K32" s="30"/>
      <c r="L32" s="30" t="str">
        <f t="shared" si="2"/>
        <v/>
      </c>
      <c r="M32" s="30" t="str">
        <f t="shared" si="5"/>
        <v/>
      </c>
      <c r="N32" s="25"/>
      <c r="O32" s="31">
        <f t="shared" si="4"/>
        <v>0</v>
      </c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 ht="12.75" customHeight="1">
      <c r="A33" s="80">
        <v>29.0</v>
      </c>
      <c r="B33" s="27"/>
      <c r="C33" s="33"/>
      <c r="D33" s="33"/>
      <c r="E33" s="29"/>
      <c r="F33" s="29"/>
      <c r="G33" s="29"/>
      <c r="H33" s="29"/>
      <c r="I33" s="29"/>
      <c r="J33" s="30" t="str">
        <f t="shared" si="1"/>
        <v/>
      </c>
      <c r="K33" s="30"/>
      <c r="L33" s="30" t="str">
        <f t="shared" si="2"/>
        <v/>
      </c>
      <c r="M33" s="30" t="str">
        <f t="shared" si="5"/>
        <v/>
      </c>
      <c r="N33" s="25"/>
      <c r="O33" s="31">
        <f t="shared" si="4"/>
        <v>0</v>
      </c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ht="12.75" customHeight="1">
      <c r="A34" s="80">
        <v>30.0</v>
      </c>
      <c r="B34" s="27"/>
      <c r="C34" s="28"/>
      <c r="D34" s="28"/>
      <c r="E34" s="29"/>
      <c r="F34" s="29"/>
      <c r="G34" s="29"/>
      <c r="H34" s="29"/>
      <c r="I34" s="29"/>
      <c r="J34" s="30" t="str">
        <f t="shared" si="1"/>
        <v/>
      </c>
      <c r="K34" s="30"/>
      <c r="L34" s="30" t="str">
        <f t="shared" si="2"/>
        <v/>
      </c>
      <c r="M34" s="30" t="str">
        <f t="shared" si="5"/>
        <v/>
      </c>
      <c r="N34" s="25"/>
      <c r="O34" s="31">
        <f t="shared" si="4"/>
        <v>0</v>
      </c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 ht="12.75" customHeight="1">
      <c r="A35" s="80">
        <v>31.0</v>
      </c>
      <c r="B35" s="27"/>
      <c r="C35" s="28"/>
      <c r="D35" s="28"/>
      <c r="E35" s="29"/>
      <c r="F35" s="29"/>
      <c r="G35" s="29"/>
      <c r="H35" s="29"/>
      <c r="I35" s="29"/>
      <c r="J35" s="30" t="str">
        <f t="shared" si="1"/>
        <v/>
      </c>
      <c r="K35" s="30"/>
      <c r="L35" s="30" t="str">
        <f t="shared" si="2"/>
        <v/>
      </c>
      <c r="M35" s="30" t="str">
        <f t="shared" si="5"/>
        <v/>
      </c>
      <c r="N35" s="25"/>
      <c r="O35" s="31">
        <f t="shared" si="4"/>
        <v>0</v>
      </c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 ht="12.75" customHeight="1">
      <c r="A36" s="80">
        <v>32.0</v>
      </c>
      <c r="B36" s="27"/>
      <c r="C36" s="28"/>
      <c r="D36" s="28"/>
      <c r="E36" s="29"/>
      <c r="F36" s="29"/>
      <c r="G36" s="29"/>
      <c r="H36" s="29"/>
      <c r="I36" s="29"/>
      <c r="J36" s="30" t="str">
        <f t="shared" si="1"/>
        <v/>
      </c>
      <c r="K36" s="30"/>
      <c r="L36" s="30" t="str">
        <f t="shared" si="2"/>
        <v/>
      </c>
      <c r="M36" s="30" t="str">
        <f t="shared" si="5"/>
        <v/>
      </c>
      <c r="N36" s="25"/>
      <c r="O36" s="31">
        <f t="shared" si="4"/>
        <v>0</v>
      </c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 ht="12.75" customHeight="1">
      <c r="A37" s="80">
        <v>33.0</v>
      </c>
      <c r="B37" s="27"/>
      <c r="C37" s="28"/>
      <c r="D37" s="28"/>
      <c r="E37" s="29"/>
      <c r="F37" s="29"/>
      <c r="G37" s="29"/>
      <c r="H37" s="29"/>
      <c r="I37" s="29"/>
      <c r="J37" s="30" t="str">
        <f t="shared" si="1"/>
        <v/>
      </c>
      <c r="K37" s="30"/>
      <c r="L37" s="30" t="str">
        <f t="shared" si="2"/>
        <v/>
      </c>
      <c r="M37" s="30" t="str">
        <f t="shared" si="5"/>
        <v/>
      </c>
      <c r="N37" s="25"/>
      <c r="O37" s="31">
        <f t="shared" si="4"/>
        <v>0</v>
      </c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ht="12.75" customHeight="1">
      <c r="A38" s="80">
        <v>34.0</v>
      </c>
      <c r="B38" s="27"/>
      <c r="C38" s="28"/>
      <c r="D38" s="28"/>
      <c r="E38" s="29"/>
      <c r="F38" s="29"/>
      <c r="G38" s="29"/>
      <c r="H38" s="29"/>
      <c r="I38" s="29"/>
      <c r="J38" s="30" t="str">
        <f t="shared" si="1"/>
        <v/>
      </c>
      <c r="K38" s="30"/>
      <c r="L38" s="30" t="str">
        <f t="shared" si="2"/>
        <v/>
      </c>
      <c r="M38" s="30" t="str">
        <f t="shared" si="5"/>
        <v/>
      </c>
      <c r="N38" s="25"/>
      <c r="O38" s="31">
        <f t="shared" si="4"/>
        <v>0</v>
      </c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 ht="12.75" customHeight="1">
      <c r="A39" s="55">
        <v>37.0</v>
      </c>
      <c r="B39" s="36"/>
      <c r="C39" s="28"/>
      <c r="D39" s="28"/>
      <c r="E39" s="30"/>
      <c r="F39" s="30"/>
      <c r="G39" s="30"/>
      <c r="H39" s="30"/>
      <c r="I39" s="30"/>
      <c r="J39" s="30" t="str">
        <f t="shared" si="1"/>
        <v/>
      </c>
      <c r="K39" s="30"/>
      <c r="L39" s="30" t="str">
        <f t="shared" si="2"/>
        <v/>
      </c>
      <c r="M39" s="30" t="str">
        <f t="shared" si="5"/>
        <v/>
      </c>
      <c r="N39" s="25"/>
      <c r="O39" s="31">
        <f t="shared" si="4"/>
        <v>0</v>
      </c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 ht="12.75" customHeight="1">
      <c r="A40" s="55">
        <f>IF(AND(M39=M40,J39=J40),A39,ROW()-4)</f>
        <v>37</v>
      </c>
      <c r="B40" s="36"/>
      <c r="C40" s="28"/>
      <c r="D40" s="28"/>
      <c r="E40" s="30"/>
      <c r="F40" s="30"/>
      <c r="G40" s="30"/>
      <c r="H40" s="30"/>
      <c r="I40" s="30"/>
      <c r="J40" s="30" t="str">
        <f t="shared" si="1"/>
        <v/>
      </c>
      <c r="K40" s="30"/>
      <c r="L40" s="30" t="str">
        <f t="shared" si="2"/>
        <v/>
      </c>
      <c r="M40" s="30" t="str">
        <f t="shared" si="5"/>
        <v/>
      </c>
      <c r="N40" s="25"/>
      <c r="O40" s="31">
        <f t="shared" si="4"/>
        <v>0</v>
      </c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 ht="12.75" customHeight="1">
      <c r="A41" s="55">
        <v>15.0</v>
      </c>
      <c r="B41" s="36"/>
      <c r="C41" s="70"/>
      <c r="D41" s="70"/>
      <c r="E41" s="44"/>
      <c r="F41" s="44"/>
      <c r="G41" s="44"/>
      <c r="H41" s="44"/>
      <c r="I41" s="44"/>
      <c r="J41" s="44" t="str">
        <f t="shared" si="1"/>
        <v/>
      </c>
      <c r="K41" s="82"/>
      <c r="L41" s="44" t="str">
        <f t="shared" si="2"/>
        <v/>
      </c>
      <c r="M41" s="44" t="str">
        <f>IF(COUNTBLANK(E41:I41)&gt;0,"",IF(COUNTIF(E41:I41,"DNF")+COUNTIF(E41:I41,"DNS")&gt;1,"DNF",IF(COUNTIF(E41:I41,"DNF")+COUNTIF(E41:I41,"DNS")&gt;0,(SUM(E41:I41)-J41)/3,(SUM(E41:I41)-J41-L41)/3)))</f>
        <v/>
      </c>
      <c r="N41" s="25"/>
      <c r="O41" s="31">
        <f t="shared" si="4"/>
        <v>0</v>
      </c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 ht="12.75" customHeight="1">
      <c r="A42" s="70"/>
      <c r="B42" s="70"/>
      <c r="E42" s="35"/>
      <c r="F42" s="35"/>
      <c r="G42" s="35"/>
      <c r="H42" s="35"/>
      <c r="I42" s="35"/>
      <c r="J42" s="35" t="str">
        <f t="shared" si="1"/>
        <v/>
      </c>
      <c r="K42" s="83"/>
      <c r="L42" s="35" t="str">
        <f t="shared" si="2"/>
        <v/>
      </c>
      <c r="M42" s="35" t="str">
        <f>IF(COUNTBLANK(E42:I42)&gt;0,"",IF(COUNTIF(E42:I42,"DNF")+COUNTIF(E42:I42,"DNS")&gt;1,"DNF",ROUND(IF(COUNTIF(E42:I42,"DNF")+COUNTIF(E42:I42,"DNS")&gt;0,(SUM(E42:I42)-J42)/3,(SUM(E42:I42)-J42-L42)/3),2)))</f>
        <v/>
      </c>
      <c r="N42" s="25"/>
      <c r="O42" s="31">
        <f t="shared" si="4"/>
        <v>0</v>
      </c>
    </row>
    <row r="43" ht="12.75" customHeight="1">
      <c r="A43" s="84"/>
      <c r="B43" s="85"/>
      <c r="C43" s="39"/>
      <c r="D43" s="39"/>
      <c r="E43" s="29"/>
      <c r="F43" s="29"/>
      <c r="G43" s="29"/>
      <c r="H43" s="29"/>
      <c r="I43" s="29"/>
      <c r="J43" s="30"/>
      <c r="K43" s="30"/>
      <c r="L43" s="30"/>
      <c r="M43" s="30"/>
      <c r="N43" s="25"/>
      <c r="O43" s="31">
        <f t="shared" si="4"/>
        <v>0</v>
      </c>
    </row>
    <row r="44" ht="12.75" customHeight="1">
      <c r="E44" s="40"/>
      <c r="F44" s="40"/>
      <c r="G44" s="40"/>
      <c r="H44" s="40"/>
      <c r="I44" s="40"/>
      <c r="J44" s="40"/>
      <c r="K44" s="40"/>
      <c r="L44" s="40"/>
      <c r="M44" s="40"/>
    </row>
    <row r="45" ht="12.75" customHeight="1">
      <c r="E45" s="40"/>
      <c r="F45" s="40"/>
      <c r="G45" s="40"/>
      <c r="H45" s="40"/>
      <c r="I45" s="40"/>
      <c r="J45" s="40"/>
      <c r="K45" s="40"/>
      <c r="L45" s="40"/>
      <c r="M45" s="40"/>
    </row>
    <row r="46" ht="12.75" customHeight="1">
      <c r="E46" s="40"/>
      <c r="F46" s="40"/>
      <c r="G46" s="40"/>
      <c r="H46" s="40"/>
      <c r="I46" s="40"/>
      <c r="J46" s="40"/>
      <c r="K46" s="40"/>
      <c r="L46" s="40"/>
      <c r="M46" s="40"/>
    </row>
    <row r="47" ht="12.75" customHeight="1">
      <c r="E47" s="40"/>
      <c r="F47" s="40"/>
      <c r="G47" s="40"/>
      <c r="H47" s="40"/>
      <c r="I47" s="40"/>
      <c r="J47" s="40"/>
      <c r="K47" s="40"/>
      <c r="L47" s="40"/>
      <c r="M47" s="40"/>
    </row>
    <row r="48" ht="12.75" customHeight="1">
      <c r="E48" s="40"/>
      <c r="F48" s="40"/>
      <c r="G48" s="40"/>
      <c r="H48" s="40"/>
      <c r="I48" s="40"/>
      <c r="J48" s="40"/>
      <c r="K48" s="40"/>
      <c r="L48" s="40"/>
      <c r="M48" s="40"/>
    </row>
    <row r="49" ht="12.75" customHeight="1">
      <c r="E49" s="40"/>
      <c r="F49" s="40"/>
      <c r="G49" s="40"/>
      <c r="H49" s="40"/>
      <c r="I49" s="40"/>
      <c r="J49" s="40"/>
      <c r="K49" s="40"/>
      <c r="L49" s="40"/>
      <c r="M49" s="40"/>
    </row>
    <row r="50" ht="12.75" customHeight="1">
      <c r="E50" s="40"/>
      <c r="F50" s="40"/>
      <c r="G50" s="40"/>
      <c r="H50" s="40"/>
      <c r="I50" s="40"/>
      <c r="J50" s="40"/>
      <c r="K50" s="40"/>
      <c r="L50" s="40"/>
      <c r="M50" s="40"/>
    </row>
    <row r="51" ht="12.75" customHeight="1">
      <c r="E51" s="40"/>
      <c r="F51" s="40"/>
      <c r="G51" s="40"/>
      <c r="H51" s="40"/>
      <c r="I51" s="40"/>
      <c r="J51" s="40"/>
      <c r="K51" s="40"/>
      <c r="L51" s="40"/>
      <c r="M51" s="40"/>
    </row>
    <row r="52" ht="12.75" customHeight="1">
      <c r="E52" s="40"/>
      <c r="F52" s="40"/>
      <c r="G52" s="40"/>
      <c r="H52" s="40"/>
      <c r="I52" s="40"/>
      <c r="J52" s="40"/>
      <c r="K52" s="40"/>
      <c r="L52" s="40"/>
      <c r="M52" s="40"/>
    </row>
    <row r="53" ht="12.75" customHeight="1">
      <c r="E53" s="40"/>
      <c r="F53" s="40"/>
      <c r="G53" s="40"/>
      <c r="H53" s="40"/>
      <c r="I53" s="40"/>
      <c r="J53" s="40"/>
      <c r="K53" s="40"/>
      <c r="L53" s="40"/>
      <c r="M53" s="40"/>
    </row>
    <row r="54" ht="12.75" customHeight="1">
      <c r="E54" s="40"/>
      <c r="F54" s="40"/>
      <c r="G54" s="40"/>
      <c r="H54" s="40"/>
      <c r="I54" s="40"/>
      <c r="J54" s="40"/>
      <c r="K54" s="40"/>
      <c r="L54" s="40"/>
      <c r="M54" s="40"/>
    </row>
    <row r="55" ht="12.75" customHeight="1">
      <c r="E55" s="40"/>
      <c r="F55" s="40"/>
      <c r="G55" s="40"/>
      <c r="H55" s="40"/>
      <c r="I55" s="40"/>
      <c r="J55" s="40"/>
      <c r="K55" s="40"/>
      <c r="L55" s="40"/>
      <c r="M55" s="40"/>
    </row>
    <row r="56" ht="12.75" customHeight="1">
      <c r="E56" s="40"/>
      <c r="F56" s="40"/>
      <c r="G56" s="40"/>
      <c r="H56" s="40"/>
      <c r="I56" s="40"/>
      <c r="J56" s="40"/>
      <c r="K56" s="40"/>
      <c r="L56" s="40"/>
      <c r="M56" s="40"/>
    </row>
    <row r="57" ht="12.75" customHeight="1">
      <c r="E57" s="40"/>
      <c r="F57" s="40"/>
      <c r="G57" s="40"/>
      <c r="H57" s="40"/>
      <c r="I57" s="40"/>
      <c r="J57" s="40"/>
      <c r="K57" s="40"/>
      <c r="L57" s="40"/>
      <c r="M57" s="40"/>
    </row>
    <row r="58" ht="12.75" customHeight="1">
      <c r="E58" s="40"/>
      <c r="F58" s="40"/>
      <c r="G58" s="40"/>
      <c r="H58" s="40"/>
      <c r="I58" s="40"/>
      <c r="J58" s="40"/>
      <c r="K58" s="40"/>
      <c r="L58" s="40"/>
      <c r="M58" s="40"/>
    </row>
    <row r="59" ht="12.75" customHeight="1">
      <c r="E59" s="40"/>
      <c r="F59" s="40"/>
      <c r="G59" s="40"/>
      <c r="H59" s="40"/>
      <c r="I59" s="40"/>
      <c r="J59" s="40"/>
      <c r="K59" s="40"/>
      <c r="L59" s="40"/>
      <c r="M59" s="40"/>
    </row>
    <row r="60" ht="12.75" customHeight="1">
      <c r="E60" s="40"/>
      <c r="F60" s="40"/>
      <c r="G60" s="40"/>
      <c r="H60" s="40"/>
      <c r="I60" s="40"/>
      <c r="J60" s="40"/>
      <c r="K60" s="40"/>
      <c r="L60" s="40"/>
      <c r="M60" s="40"/>
    </row>
    <row r="61" ht="12.75" customHeight="1">
      <c r="E61" s="40"/>
      <c r="F61" s="40"/>
      <c r="G61" s="40"/>
      <c r="H61" s="40"/>
      <c r="I61" s="40"/>
      <c r="J61" s="40"/>
      <c r="K61" s="40"/>
      <c r="L61" s="40"/>
      <c r="M61" s="40"/>
    </row>
    <row r="62" ht="12.75" customHeight="1">
      <c r="E62" s="40"/>
      <c r="F62" s="40"/>
      <c r="G62" s="40"/>
      <c r="H62" s="40"/>
      <c r="I62" s="40"/>
      <c r="J62" s="40"/>
      <c r="K62" s="40"/>
      <c r="L62" s="40"/>
      <c r="M62" s="40"/>
    </row>
    <row r="63" ht="12.75" customHeight="1">
      <c r="E63" s="40"/>
      <c r="F63" s="40"/>
      <c r="G63" s="40"/>
      <c r="H63" s="40"/>
      <c r="I63" s="40"/>
      <c r="J63" s="40"/>
      <c r="K63" s="40"/>
      <c r="L63" s="40"/>
      <c r="M63" s="40"/>
    </row>
    <row r="64" ht="12.75" customHeight="1">
      <c r="E64" s="40"/>
      <c r="F64" s="40"/>
      <c r="G64" s="40"/>
      <c r="H64" s="40"/>
      <c r="I64" s="40"/>
      <c r="J64" s="40"/>
      <c r="K64" s="40"/>
      <c r="L64" s="40"/>
      <c r="M64" s="40"/>
    </row>
    <row r="65" ht="12.75" customHeight="1">
      <c r="E65" s="40"/>
      <c r="F65" s="40"/>
      <c r="G65" s="40"/>
      <c r="H65" s="40"/>
      <c r="I65" s="40"/>
      <c r="J65" s="40"/>
      <c r="K65" s="40"/>
      <c r="L65" s="40"/>
      <c r="M65" s="40"/>
    </row>
    <row r="66" ht="12.75" customHeight="1">
      <c r="E66" s="40"/>
      <c r="F66" s="40"/>
      <c r="G66" s="40"/>
      <c r="H66" s="40"/>
      <c r="I66" s="40"/>
      <c r="J66" s="40"/>
      <c r="K66" s="40"/>
      <c r="L66" s="40"/>
      <c r="M66" s="40"/>
    </row>
    <row r="67" ht="12.75" customHeight="1">
      <c r="E67" s="40"/>
      <c r="F67" s="40"/>
      <c r="G67" s="40"/>
      <c r="H67" s="40"/>
      <c r="I67" s="40"/>
      <c r="J67" s="40"/>
      <c r="K67" s="40"/>
      <c r="L67" s="40"/>
      <c r="M67" s="40"/>
    </row>
    <row r="68" ht="12.75" customHeight="1">
      <c r="E68" s="40"/>
      <c r="F68" s="40"/>
      <c r="G68" s="40"/>
      <c r="H68" s="40"/>
      <c r="I68" s="40"/>
      <c r="J68" s="40"/>
      <c r="K68" s="40"/>
      <c r="L68" s="40"/>
      <c r="M68" s="40"/>
    </row>
    <row r="69" ht="12.75" customHeight="1">
      <c r="E69" s="40"/>
      <c r="F69" s="40"/>
      <c r="G69" s="40"/>
      <c r="H69" s="40"/>
      <c r="I69" s="40"/>
      <c r="J69" s="40"/>
      <c r="K69" s="40"/>
      <c r="L69" s="40"/>
      <c r="M69" s="40"/>
    </row>
    <row r="70" ht="12.75" customHeight="1">
      <c r="E70" s="40"/>
      <c r="F70" s="40"/>
      <c r="G70" s="40"/>
      <c r="H70" s="40"/>
      <c r="I70" s="40"/>
      <c r="J70" s="40"/>
      <c r="K70" s="40"/>
      <c r="L70" s="40"/>
      <c r="M70" s="40"/>
    </row>
    <row r="71" ht="12.75" customHeight="1">
      <c r="E71" s="40"/>
      <c r="F71" s="40"/>
      <c r="G71" s="40"/>
      <c r="H71" s="40"/>
      <c r="I71" s="40"/>
      <c r="J71" s="40"/>
      <c r="K71" s="40"/>
      <c r="L71" s="40"/>
      <c r="M71" s="40"/>
    </row>
    <row r="72" ht="12.75" customHeight="1">
      <c r="E72" s="40"/>
      <c r="F72" s="40"/>
      <c r="G72" s="40"/>
      <c r="H72" s="40"/>
      <c r="I72" s="40"/>
      <c r="J72" s="40"/>
      <c r="K72" s="40"/>
      <c r="L72" s="40"/>
      <c r="M72" s="40"/>
    </row>
    <row r="73" ht="12.75" customHeight="1">
      <c r="E73" s="40"/>
      <c r="F73" s="40"/>
      <c r="G73" s="40"/>
      <c r="H73" s="40"/>
      <c r="I73" s="40"/>
      <c r="J73" s="40"/>
      <c r="K73" s="40"/>
      <c r="L73" s="40"/>
      <c r="M73" s="40"/>
    </row>
    <row r="74" ht="12.75" customHeight="1">
      <c r="E74" s="40"/>
      <c r="F74" s="40"/>
      <c r="G74" s="40"/>
      <c r="H74" s="40"/>
      <c r="I74" s="40"/>
      <c r="J74" s="40"/>
      <c r="K74" s="40"/>
      <c r="L74" s="40"/>
      <c r="M74" s="40"/>
    </row>
    <row r="75" ht="12.75" customHeight="1">
      <c r="E75" s="40"/>
      <c r="F75" s="40"/>
      <c r="G75" s="40"/>
      <c r="H75" s="40"/>
      <c r="I75" s="40"/>
      <c r="J75" s="40"/>
      <c r="K75" s="40"/>
      <c r="L75" s="40"/>
      <c r="M75" s="40"/>
    </row>
    <row r="76" ht="12.75" customHeight="1">
      <c r="E76" s="40"/>
      <c r="F76" s="40"/>
      <c r="G76" s="40"/>
      <c r="H76" s="40"/>
      <c r="I76" s="40"/>
      <c r="J76" s="40"/>
      <c r="K76" s="40"/>
      <c r="L76" s="40"/>
      <c r="M76" s="40"/>
    </row>
    <row r="77" ht="12.75" customHeight="1">
      <c r="E77" s="40"/>
      <c r="F77" s="40"/>
      <c r="G77" s="40"/>
      <c r="H77" s="40"/>
      <c r="I77" s="40"/>
      <c r="J77" s="40"/>
      <c r="K77" s="40"/>
      <c r="L77" s="40"/>
      <c r="M77" s="40"/>
    </row>
    <row r="78" ht="12.75" customHeight="1">
      <c r="E78" s="40"/>
      <c r="F78" s="40"/>
      <c r="G78" s="40"/>
      <c r="H78" s="40"/>
      <c r="I78" s="40"/>
      <c r="J78" s="40"/>
      <c r="K78" s="40"/>
      <c r="L78" s="40"/>
      <c r="M78" s="40"/>
    </row>
    <row r="79" ht="12.75" customHeight="1">
      <c r="E79" s="40"/>
      <c r="F79" s="40"/>
      <c r="G79" s="40"/>
      <c r="H79" s="40"/>
      <c r="I79" s="40"/>
      <c r="J79" s="40"/>
      <c r="K79" s="40"/>
      <c r="L79" s="40"/>
      <c r="M79" s="40"/>
    </row>
    <row r="80" ht="12.75" customHeight="1">
      <c r="E80" s="40"/>
      <c r="F80" s="40"/>
      <c r="G80" s="40"/>
      <c r="H80" s="40"/>
      <c r="I80" s="40"/>
      <c r="J80" s="40"/>
      <c r="K80" s="40"/>
      <c r="L80" s="40"/>
      <c r="M80" s="40"/>
    </row>
    <row r="81" ht="12.75" customHeight="1">
      <c r="E81" s="40"/>
      <c r="F81" s="40"/>
      <c r="G81" s="40"/>
      <c r="H81" s="40"/>
      <c r="I81" s="40"/>
      <c r="J81" s="40"/>
      <c r="K81" s="40"/>
      <c r="L81" s="40"/>
      <c r="M81" s="40"/>
    </row>
    <row r="82" ht="12.75" customHeight="1">
      <c r="E82" s="40"/>
      <c r="F82" s="40"/>
      <c r="G82" s="40"/>
      <c r="H82" s="40"/>
      <c r="I82" s="40"/>
      <c r="J82" s="40"/>
      <c r="K82" s="40"/>
      <c r="L82" s="40"/>
      <c r="M82" s="40"/>
    </row>
    <row r="83" ht="12.75" customHeight="1">
      <c r="E83" s="40"/>
      <c r="F83" s="40"/>
      <c r="G83" s="40"/>
      <c r="H83" s="40"/>
      <c r="I83" s="40"/>
      <c r="J83" s="40"/>
      <c r="K83" s="40"/>
      <c r="L83" s="40"/>
      <c r="M83" s="40"/>
    </row>
    <row r="84" ht="12.75" customHeight="1">
      <c r="E84" s="40"/>
      <c r="F84" s="40"/>
      <c r="G84" s="40"/>
      <c r="H84" s="40"/>
      <c r="I84" s="40"/>
      <c r="J84" s="40"/>
      <c r="K84" s="40"/>
      <c r="L84" s="40"/>
      <c r="M84" s="40"/>
    </row>
    <row r="85" ht="12.75" customHeight="1">
      <c r="E85" s="40"/>
      <c r="F85" s="40"/>
      <c r="G85" s="40"/>
      <c r="H85" s="40"/>
      <c r="I85" s="40"/>
      <c r="J85" s="40"/>
      <c r="K85" s="40"/>
      <c r="L85" s="40"/>
      <c r="M85" s="40"/>
    </row>
    <row r="86" ht="12.75" customHeight="1">
      <c r="E86" s="40"/>
      <c r="F86" s="40"/>
      <c r="G86" s="40"/>
      <c r="H86" s="40"/>
      <c r="I86" s="40"/>
      <c r="J86" s="40"/>
      <c r="K86" s="40"/>
      <c r="L86" s="40"/>
      <c r="M86" s="40"/>
    </row>
    <row r="87" ht="12.75" customHeight="1">
      <c r="E87" s="40"/>
      <c r="F87" s="40"/>
      <c r="G87" s="40"/>
      <c r="H87" s="40"/>
      <c r="I87" s="40"/>
      <c r="J87" s="40"/>
      <c r="K87" s="40"/>
      <c r="L87" s="40"/>
      <c r="M87" s="40"/>
    </row>
    <row r="88" ht="12.75" customHeight="1">
      <c r="E88" s="40"/>
      <c r="F88" s="40"/>
      <c r="G88" s="40"/>
      <c r="H88" s="40"/>
      <c r="I88" s="40"/>
      <c r="J88" s="40"/>
      <c r="K88" s="40"/>
      <c r="L88" s="40"/>
      <c r="M88" s="40"/>
    </row>
    <row r="89" ht="12.75" customHeight="1">
      <c r="E89" s="40"/>
      <c r="F89" s="40"/>
      <c r="G89" s="40"/>
      <c r="H89" s="40"/>
      <c r="I89" s="40"/>
      <c r="J89" s="40"/>
      <c r="K89" s="40"/>
      <c r="L89" s="40"/>
      <c r="M89" s="40"/>
    </row>
    <row r="90" ht="12.75" customHeight="1">
      <c r="E90" s="40"/>
      <c r="F90" s="40"/>
      <c r="G90" s="40"/>
      <c r="H90" s="40"/>
      <c r="I90" s="40"/>
      <c r="J90" s="40"/>
      <c r="K90" s="40"/>
      <c r="L90" s="40"/>
      <c r="M90" s="40"/>
    </row>
    <row r="91" ht="12.75" customHeight="1">
      <c r="E91" s="40"/>
      <c r="F91" s="40"/>
      <c r="G91" s="40"/>
      <c r="H91" s="40"/>
      <c r="I91" s="40"/>
      <c r="J91" s="40"/>
      <c r="K91" s="40"/>
      <c r="L91" s="40"/>
      <c r="M91" s="40"/>
    </row>
    <row r="92" ht="12.75" customHeight="1">
      <c r="E92" s="40"/>
      <c r="F92" s="40"/>
      <c r="G92" s="40"/>
      <c r="H92" s="40"/>
      <c r="I92" s="40"/>
      <c r="J92" s="40"/>
      <c r="K92" s="40"/>
      <c r="L92" s="40"/>
      <c r="M92" s="40"/>
    </row>
    <row r="93" ht="12.75" customHeight="1">
      <c r="E93" s="40"/>
      <c r="F93" s="40"/>
      <c r="G93" s="40"/>
      <c r="H93" s="40"/>
      <c r="I93" s="40"/>
      <c r="J93" s="40"/>
      <c r="K93" s="40"/>
      <c r="L93" s="40"/>
      <c r="M93" s="40"/>
    </row>
    <row r="94" ht="12.75" customHeight="1">
      <c r="E94" s="40"/>
      <c r="F94" s="40"/>
      <c r="G94" s="40"/>
      <c r="H94" s="40"/>
      <c r="I94" s="40"/>
      <c r="J94" s="40"/>
      <c r="K94" s="40"/>
      <c r="L94" s="40"/>
      <c r="M94" s="40"/>
    </row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</sheetData>
  <autoFilter ref="$A$4:$O$43">
    <sortState ref="A4:O43">
      <sortCondition ref="M4:M43"/>
      <sortCondition ref="B4:B43"/>
    </sortState>
  </autoFilter>
  <printOptions/>
  <pageMargins bottom="1.0" footer="0.0" header="0.0" left="0.75" right="0.75" top="1.0"/>
  <pageSetup paperSize="9"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